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" sheetId="1" state="visible" r:id="rId1"/>
    <sheet name="DASHBOARD" sheetId="2" state="visible" r:id="rId2"/>
    <sheet name="ILUMINACAO" sheetId="3" state="visible" r:id="rId3"/>
    <sheet name="AUDIO" sheetId="4" state="visible" r:id="rId4"/>
    <sheet name="CABO" sheetId="5" state="visible" r:id="rId5"/>
    <sheet name="ENERGIA" sheetId="6" state="visible" r:id="rId6"/>
    <sheet name="ESTRUTURA" sheetId="7" state="visible" r:id="rId7"/>
    <sheet name="EFEITO" sheetId="8" state="visible" r:id="rId8"/>
    <sheet name="VIDEO" sheetId="9" state="visible" r:id="rId9"/>
    <sheet name="ACESSORIO" sheetId="10" state="visible" r:id="rId10"/>
    <sheet name="LOTES" sheetId="11" state="visible" r:id="rId11"/>
    <sheet name="FORA DE OPERACAO" sheetId="12" state="visible" r:id="rId12"/>
  </sheets>
  <definedNames>
    <definedName name="_xlnm._FilterDatabase" localSheetId="2" hidden="1">'ILUMINACAO'!$A$4:$M$4</definedName>
    <definedName name="_xlnm.Print_Titles" localSheetId="2">'ILUMINACAO'!$4:$4</definedName>
    <definedName name="_xlnm._FilterDatabase" localSheetId="3" hidden="1">'AUDIO'!$A$4:$M$4</definedName>
    <definedName name="_xlnm.Print_Titles" localSheetId="3">'AUDIO'!$4:$4</definedName>
    <definedName name="_xlnm._FilterDatabase" localSheetId="4" hidden="1">'CABO'!$A$4:$M$4</definedName>
    <definedName name="_xlnm.Print_Titles" localSheetId="4">'CABO'!$4:$4</definedName>
    <definedName name="_xlnm._FilterDatabase" localSheetId="5" hidden="1">'ENERGIA'!$A$4:$M$4</definedName>
    <definedName name="_xlnm.Print_Titles" localSheetId="5">'ENERGIA'!$4:$4</definedName>
    <definedName name="_xlnm._FilterDatabase" localSheetId="6" hidden="1">'ESTRUTURA'!$A$4:$M$4</definedName>
    <definedName name="_xlnm.Print_Titles" localSheetId="6">'ESTRUTURA'!$4:$4</definedName>
    <definedName name="_xlnm._FilterDatabase" localSheetId="7" hidden="1">'EFEITO'!$A$4:$M$4</definedName>
    <definedName name="_xlnm.Print_Titles" localSheetId="7">'EFEITO'!$4:$4</definedName>
    <definedName name="_xlnm._FilterDatabase" localSheetId="8" hidden="1">'VIDEO'!$A$4:$M$4</definedName>
    <definedName name="_xlnm.Print_Titles" localSheetId="8">'VIDEO'!$4:$4</definedName>
    <definedName name="_xlnm._FilterDatabase" localSheetId="9" hidden="1">'ACESSORIO'!$A$4:$M$4</definedName>
    <definedName name="_xlnm.Print_Titles" localSheetId="9">'ACESSORIO'!$4:$4</definedName>
    <definedName name="_xlnm._FilterDatabase" localSheetId="10" hidden="1">'LOTES'!$A$1:$G$1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R$ #,##0.00"/>
    <numFmt numFmtId="166" formatCode="0.0%"/>
  </numFmts>
  <fonts count="68">
    <font>
      <name val="Calibri"/>
      <family val="2"/>
      <color theme="1"/>
      <sz val="11"/>
      <scheme val="minor"/>
    </font>
    <font>
      <name val="Arial"/>
      <b val="1"/>
      <color rgb="004F46E5"/>
      <sz val="24"/>
    </font>
    <font>
      <name val="Arial"/>
      <b val="1"/>
      <color rgb="00475569"/>
      <sz val="12"/>
    </font>
    <font>
      <name val="Arial"/>
      <color rgb="00CBD5E1"/>
      <sz val="9"/>
    </font>
    <font>
      <name val="Arial"/>
      <b val="1"/>
      <color rgb="00F8FAFC"/>
      <sz val="14"/>
    </font>
    <font>
      <name val="Arial"/>
      <color rgb="00334155"/>
      <sz val="10"/>
    </font>
    <font>
      <name val="Arial"/>
      <b val="1"/>
      <color rgb="0014532D"/>
      <sz val="11"/>
    </font>
    <font>
      <name val="Arial"/>
      <b val="1"/>
      <color rgb="0078350F"/>
      <sz val="11"/>
    </font>
    <font>
      <name val="Arial"/>
      <b val="1"/>
      <color rgb="001E3A8A"/>
      <sz val="11"/>
    </font>
    <font>
      <name val="Arial"/>
      <b val="1"/>
      <color rgb="007F1D1D"/>
      <sz val="11"/>
    </font>
    <font>
      <name val="Arial"/>
      <b val="1"/>
      <color rgb="004C1D95"/>
      <sz val="11"/>
    </font>
    <font>
      <name val="Arial"/>
      <b val="1"/>
      <color rgb="00475569"/>
      <sz val="11"/>
    </font>
    <font>
      <name val="Arial"/>
      <b val="1"/>
      <color rgb="007C2D12"/>
      <sz val="11"/>
    </font>
    <font>
      <name val="Arial"/>
      <b val="1"/>
      <color rgb="000F172A"/>
      <sz val="11"/>
    </font>
    <font>
      <name val="Arial"/>
      <b val="1"/>
      <color rgb="00334155"/>
      <sz val="10"/>
    </font>
    <font>
      <name val="Arial"/>
      <color rgb="00475569"/>
      <sz val="10"/>
    </font>
    <font>
      <name val="Arial"/>
      <b val="1"/>
      <color rgb="004F46E5"/>
      <sz val="10"/>
    </font>
    <font>
      <name val="Arial"/>
      <b val="1"/>
      <color rgb="004338CA"/>
      <sz val="11"/>
    </font>
    <font>
      <name val="Arial"/>
      <b val="1"/>
      <color rgb="00047857"/>
      <sz val="11"/>
    </font>
    <font>
      <name val="Arial"/>
      <b val="1"/>
      <color rgb="0092400E"/>
      <sz val="11"/>
    </font>
    <font>
      <name val="Arial"/>
      <b val="1"/>
      <color rgb="00B91C1C"/>
      <sz val="11"/>
    </font>
    <font>
      <name val="Arial"/>
      <b val="1"/>
      <color rgb="001D4ED8"/>
      <sz val="11"/>
    </font>
    <font>
      <name val="Arial"/>
      <b val="1"/>
      <color rgb="006D28D9"/>
      <sz val="11"/>
    </font>
    <font>
      <name val="Arial"/>
      <b val="1"/>
      <color rgb="000F766E"/>
      <sz val="11"/>
    </font>
    <font>
      <name val="Arial"/>
      <b val="1"/>
      <color rgb="00C2410C"/>
      <sz val="11"/>
    </font>
    <font>
      <name val="Arial"/>
      <color rgb="00CBD5E1"/>
      <sz val="8"/>
    </font>
    <font>
      <name val="Arial"/>
      <b val="1"/>
      <color rgb="000F172A"/>
      <sz val="22"/>
    </font>
    <font>
      <name val="Arial"/>
      <color rgb="00CBD5E1"/>
      <sz val="10"/>
    </font>
    <font>
      <name val="Arial"/>
      <b val="1"/>
      <color rgb="004F46E5"/>
      <sz val="18"/>
    </font>
    <font>
      <name val="Arial"/>
      <b val="1"/>
      <color rgb="00475569"/>
      <sz val="8"/>
    </font>
    <font>
      <name val="Arial"/>
      <b val="1"/>
      <color rgb="0016A34A"/>
      <sz val="18"/>
    </font>
    <font>
      <name val="Arial"/>
      <b val="1"/>
      <color rgb="00CA8A04"/>
      <sz val="18"/>
    </font>
    <font>
      <name val="Arial"/>
      <b val="1"/>
      <color rgb="00DC2626"/>
      <sz val="18"/>
    </font>
    <font>
      <name val="Arial"/>
      <b val="1"/>
      <color rgb="00CBD5E1"/>
      <sz val="9"/>
    </font>
    <font>
      <name val="Arial"/>
      <b val="1"/>
      <color rgb="004F46E5"/>
      <sz val="14"/>
    </font>
    <font>
      <name val="Arial"/>
      <b val="1"/>
      <color rgb="00CBD5E1"/>
      <sz val="8"/>
    </font>
    <font>
      <name val="Arial"/>
      <b val="1"/>
      <color rgb="00DC2626"/>
      <sz val="14"/>
    </font>
    <font>
      <name val="Arial"/>
      <b val="1"/>
      <color rgb="00CA8A04"/>
      <sz val="14"/>
    </font>
    <font>
      <name val="Arial"/>
      <b val="1"/>
      <color rgb="00F59E0B"/>
      <sz val="14"/>
    </font>
    <font>
      <name val="Arial"/>
      <b val="1"/>
      <color rgb="00F8FAFC"/>
      <sz val="9"/>
    </font>
    <font>
      <name val="Arial"/>
      <b val="1"/>
      <color rgb="004338CA"/>
      <sz val="10"/>
    </font>
    <font>
      <name val="Arial"/>
      <b val="1"/>
      <color rgb="00166534"/>
      <sz val="10"/>
    </font>
    <font>
      <name val="Arial"/>
      <b val="1"/>
      <color rgb="00047857"/>
      <sz val="10"/>
    </font>
    <font>
      <name val="Arial"/>
      <b val="1"/>
      <color rgb="0092400E"/>
      <sz val="10"/>
    </font>
    <font>
      <name val="Arial"/>
      <b val="1"/>
      <color rgb="00B91C1C"/>
      <sz val="10"/>
    </font>
    <font>
      <name val="Arial"/>
      <b val="1"/>
      <color rgb="001D4ED8"/>
      <sz val="10"/>
    </font>
    <font>
      <name val="Arial"/>
      <b val="1"/>
      <color rgb="006D28D9"/>
      <sz val="10"/>
    </font>
    <font>
      <name val="Arial"/>
      <b val="1"/>
      <color rgb="000F766E"/>
      <sz val="10"/>
    </font>
    <font>
      <name val="Arial"/>
      <b val="1"/>
      <color rgb="00C2410C"/>
      <sz val="10"/>
    </font>
    <font>
      <name val="Arial"/>
      <b val="1"/>
      <color rgb="0014532D"/>
      <sz val="10"/>
    </font>
    <font>
      <name val="Arial"/>
      <b val="1"/>
      <color rgb="0078350F"/>
      <sz val="10"/>
    </font>
    <font>
      <name val="Arial"/>
      <b val="1"/>
      <color rgb="001E3A8A"/>
      <sz val="10"/>
    </font>
    <font>
      <name val="Arial"/>
      <b val="1"/>
      <color rgb="007F1D1D"/>
      <sz val="10"/>
    </font>
    <font>
      <name val="Arial"/>
      <color rgb="00047857"/>
      <sz val="9"/>
    </font>
    <font>
      <name val="Arial"/>
      <b val="1"/>
      <color rgb="000F172A"/>
      <sz val="10"/>
    </font>
    <font>
      <name val="Arial"/>
      <b val="1"/>
      <color rgb="0016A34A"/>
      <sz val="10"/>
    </font>
    <font>
      <name val="Arial"/>
      <color rgb="00CA8A04"/>
      <sz val="10"/>
    </font>
    <font>
      <name val="Arial"/>
      <b val="1"/>
      <color rgb="004338CA"/>
      <sz val="14"/>
    </font>
    <font>
      <name val="Arial"/>
      <b val="1"/>
      <color rgb="00F8FAFC"/>
      <sz val="10"/>
    </font>
    <font>
      <name val="Arial"/>
      <b val="1"/>
      <color rgb="00047857"/>
      <sz val="14"/>
    </font>
    <font>
      <name val="Arial"/>
      <b val="1"/>
      <color rgb="0092400E"/>
      <sz val="14"/>
    </font>
    <font>
      <name val="Arial"/>
      <b val="1"/>
      <color rgb="00B91C1C"/>
      <sz val="14"/>
    </font>
    <font>
      <name val="Arial"/>
      <b val="1"/>
      <color rgb="001D4ED8"/>
      <sz val="14"/>
    </font>
    <font>
      <name val="Arial"/>
      <b val="1"/>
      <color rgb="006D28D9"/>
      <sz val="14"/>
    </font>
    <font>
      <name val="Arial"/>
      <b val="1"/>
      <color rgb="000F766E"/>
      <sz val="14"/>
    </font>
    <font>
      <name val="Arial"/>
      <b val="1"/>
      <color rgb="00C2410C"/>
      <sz val="14"/>
    </font>
    <font>
      <name val="Arial"/>
      <color rgb="00DC2626"/>
      <sz val="10"/>
    </font>
    <font>
      <name val="Arial"/>
      <b val="1"/>
      <color rgb="0064748B"/>
      <sz val="10"/>
    </font>
  </fonts>
  <fills count="2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BBF7D0"/>
        <bgColor rgb="00BBF7D0"/>
      </patternFill>
    </fill>
    <fill>
      <patternFill patternType="solid">
        <fgColor rgb="00FDE68A"/>
        <bgColor rgb="00FDE68A"/>
      </patternFill>
    </fill>
    <fill>
      <patternFill patternType="solid">
        <fgColor rgb="00BFDBFE"/>
        <bgColor rgb="00BFDBFE"/>
      </patternFill>
    </fill>
    <fill>
      <patternFill patternType="solid">
        <fgColor rgb="00FECACA"/>
        <bgColor rgb="00FECACA"/>
      </patternFill>
    </fill>
    <fill>
      <patternFill patternType="solid">
        <fgColor rgb="00DDD6FE"/>
        <bgColor rgb="00DDD6FE"/>
      </patternFill>
    </fill>
    <fill>
      <patternFill patternType="solid">
        <fgColor rgb="00E2E8F0"/>
        <bgColor rgb="00E2E8F0"/>
      </patternFill>
    </fill>
    <fill>
      <patternFill patternType="solid">
        <fgColor rgb="00FED7AA"/>
        <bgColor rgb="00FED7AA"/>
      </patternFill>
    </fill>
    <fill>
      <patternFill patternType="solid">
        <fgColor rgb="0086EFAC"/>
        <bgColor rgb="0086EFAC"/>
      </patternFill>
    </fill>
    <fill>
      <patternFill patternType="solid">
        <fgColor rgb="0093C5FD"/>
        <bgColor rgb="0093C5FD"/>
      </patternFill>
    </fill>
    <fill>
      <patternFill patternType="solid">
        <fgColor rgb="00FDE047"/>
        <bgColor rgb="00FDE047"/>
      </patternFill>
    </fill>
    <fill>
      <patternFill patternType="solid">
        <fgColor rgb="00FDBA74"/>
        <bgColor rgb="00FDBA74"/>
      </patternFill>
    </fill>
    <fill>
      <patternFill patternType="solid">
        <fgColor rgb="00FCA5A5"/>
        <bgColor rgb="00FCA5A5"/>
      </patternFill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5F3FF"/>
        <bgColor rgb="00F5F3FF"/>
      </patternFill>
    </fill>
    <fill>
      <patternFill patternType="solid">
        <fgColor rgb="00F0FDFA"/>
        <bgColor rgb="00F0FDFA"/>
      </patternFill>
    </fill>
    <fill>
      <patternFill patternType="solid">
        <fgColor rgb="00FFF7ED"/>
        <bgColor rgb="00FFF7ED"/>
      </patternFill>
    </fill>
    <fill>
      <patternFill patternType="solid">
        <fgColor rgb="00E0E7FF"/>
        <bgColor rgb="00E0E7FF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  <border>
      <left/>
      <right/>
      <top style="thin">
        <color rgb="00C7D2FE"/>
      </top>
      <bottom/>
      <diagonal/>
    </border>
    <border>
      <left/>
      <right style="thin">
        <color rgb="00C7D2FE"/>
      </right>
      <top style="thin">
        <color rgb="00C7D2FE"/>
      </top>
      <bottom/>
      <diagonal/>
    </border>
    <border>
      <left/>
      <right style="thin">
        <color rgb="00C7D2FE"/>
      </right>
      <top style="thin">
        <color rgb="00C7D2FE"/>
      </top>
      <bottom style="thin">
        <color rgb="00C7D2FE"/>
      </bottom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0" fillId="2" borderId="0" pivotButton="0" quotePrefix="0" xfId="0"/>
    <xf numFmtId="0" fontId="5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6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10" fillId="8" borderId="1" applyAlignment="1" pivotButton="0" quotePrefix="0" xfId="0">
      <alignment vertical="center"/>
    </xf>
    <xf numFmtId="0" fontId="11" fillId="9" borderId="1" applyAlignment="1" pivotButton="0" quotePrefix="0" xfId="0">
      <alignment vertical="center"/>
    </xf>
    <xf numFmtId="0" fontId="12" fillId="10" borderId="1" applyAlignment="1" pivotButton="0" quotePrefix="0" xfId="0">
      <alignment vertical="center"/>
    </xf>
    <xf numFmtId="0" fontId="13" fillId="11" borderId="1" applyAlignment="1" pivotButton="0" quotePrefix="0" xfId="0">
      <alignment vertical="center"/>
    </xf>
    <xf numFmtId="0" fontId="13" fillId="12" borderId="1" applyAlignment="1" pivotButton="0" quotePrefix="0" xfId="0">
      <alignment vertical="center"/>
    </xf>
    <xf numFmtId="0" fontId="13" fillId="13" borderId="1" applyAlignment="1" pivotButton="0" quotePrefix="0" xfId="0">
      <alignment vertical="center"/>
    </xf>
    <xf numFmtId="0" fontId="13" fillId="14" borderId="1" applyAlignment="1" pivotButton="0" quotePrefix="0" xfId="0">
      <alignment vertical="center"/>
    </xf>
    <xf numFmtId="0" fontId="13" fillId="15" borderId="1" applyAlignment="1" pivotButton="0" quotePrefix="0" xfId="0">
      <alignment vertical="center"/>
    </xf>
    <xf numFmtId="0" fontId="4" fillId="16" borderId="0" applyAlignment="1" pivotButton="0" quotePrefix="0" xfId="0">
      <alignment vertical="center"/>
    </xf>
    <xf numFmtId="0" fontId="0" fillId="16" borderId="0" pivotButton="0" quotePrefix="0" xfId="0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17" borderId="1" applyAlignment="1" pivotButton="0" quotePrefix="0" xfId="0">
      <alignment vertical="center"/>
    </xf>
    <xf numFmtId="0" fontId="18" fillId="18" borderId="1" applyAlignment="1" pivotButton="0" quotePrefix="0" xfId="0">
      <alignment vertical="center"/>
    </xf>
    <xf numFmtId="0" fontId="19" fillId="19" borderId="1" applyAlignment="1" pivotButton="0" quotePrefix="0" xfId="0">
      <alignment vertical="center"/>
    </xf>
    <xf numFmtId="0" fontId="20" fillId="20" borderId="1" applyAlignment="1" pivotButton="0" quotePrefix="0" xfId="0">
      <alignment vertical="center"/>
    </xf>
    <xf numFmtId="0" fontId="21" fillId="21" borderId="1" applyAlignment="1" pivotButton="0" quotePrefix="0" xfId="0">
      <alignment vertical="center"/>
    </xf>
    <xf numFmtId="0" fontId="22" fillId="22" borderId="1" applyAlignment="1" pivotButton="0" quotePrefix="0" xfId="0">
      <alignment vertical="center"/>
    </xf>
    <xf numFmtId="0" fontId="23" fillId="23" borderId="1" applyAlignment="1" pivotButton="0" quotePrefix="0" xfId="0">
      <alignment vertical="center"/>
    </xf>
    <xf numFmtId="0" fontId="24" fillId="24" borderId="1" applyAlignment="1" pivotButton="0" quotePrefix="0" xfId="0">
      <alignment vertical="center"/>
    </xf>
    <xf numFmtId="0" fontId="25" fillId="0" borderId="0" applyAlignment="1" pivotButton="0" quotePrefix="0" xfId="0">
      <alignment horizontal="center"/>
    </xf>
    <xf numFmtId="0" fontId="26" fillId="0" borderId="0" pivotButton="0" quotePrefix="0" xfId="0"/>
    <xf numFmtId="0" fontId="27" fillId="0" borderId="0" pivotButton="0" quotePrefix="0" xfId="0"/>
    <xf numFmtId="3" fontId="28" fillId="25" borderId="2" applyAlignment="1" pivotButton="0" quotePrefix="0" xfId="0">
      <alignment horizontal="center" vertical="center"/>
    </xf>
    <xf numFmtId="0" fontId="0" fillId="0" borderId="5" pivotButton="0" quotePrefix="0" xfId="0"/>
    <xf numFmtId="3" fontId="30" fillId="25" borderId="2" applyAlignment="1" pivotButton="0" quotePrefix="0" xfId="0">
      <alignment horizontal="center" vertical="center"/>
    </xf>
    <xf numFmtId="3" fontId="31" fillId="25" borderId="2" applyAlignment="1" pivotButton="0" quotePrefix="0" xfId="0">
      <alignment horizontal="center" vertical="center"/>
    </xf>
    <xf numFmtId="0" fontId="29" fillId="25" borderId="2" applyAlignment="1" pivotButton="0" quotePrefix="0" xfId="0">
      <alignment horizontal="center" vertical="center"/>
    </xf>
    <xf numFmtId="0" fontId="0" fillId="25" borderId="2" pivotButton="0" quotePrefix="0" xfId="0"/>
    <xf numFmtId="3" fontId="32" fillId="25" borderId="2" applyAlignment="1" pivotButton="0" quotePrefix="0" xfId="0">
      <alignment horizontal="center" vertical="center"/>
    </xf>
    <xf numFmtId="164" fontId="28" fillId="25" borderId="2" applyAlignment="1" pivotButton="0" quotePrefix="0" xfId="0">
      <alignment horizontal="center" vertical="center"/>
    </xf>
    <xf numFmtId="164" fontId="30" fillId="25" borderId="2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center"/>
    </xf>
    <xf numFmtId="0" fontId="39" fillId="2" borderId="6" applyAlignment="1" pivotButton="0" quotePrefix="0" xfId="0">
      <alignment horizontal="center" vertical="center"/>
    </xf>
    <xf numFmtId="0" fontId="5" fillId="26" borderId="1" applyAlignment="1" pivotButton="0" quotePrefix="0" xfId="0">
      <alignment vertical="center"/>
    </xf>
    <xf numFmtId="0" fontId="40" fillId="26" borderId="1" applyAlignment="1" pivotButton="0" quotePrefix="0" xfId="0">
      <alignment vertical="center"/>
    </xf>
    <xf numFmtId="164" fontId="5" fillId="26" borderId="1" applyAlignment="1" pivotButton="0" quotePrefix="0" xfId="0">
      <alignment vertical="center"/>
    </xf>
    <xf numFmtId="164" fontId="41" fillId="26" borderId="1" applyAlignment="1" pivotButton="0" quotePrefix="0" xfId="0">
      <alignment vertical="center"/>
    </xf>
    <xf numFmtId="9" fontId="5" fillId="26" borderId="1" applyAlignment="1" pivotButton="0" quotePrefix="0" xfId="0">
      <alignment vertical="center"/>
    </xf>
    <xf numFmtId="0" fontId="5" fillId="27" borderId="1" applyAlignment="1" pivotButton="0" quotePrefix="0" xfId="0">
      <alignment vertical="center"/>
    </xf>
    <xf numFmtId="0" fontId="42" fillId="27" borderId="1" applyAlignment="1" pivotButton="0" quotePrefix="0" xfId="0">
      <alignment vertical="center"/>
    </xf>
    <xf numFmtId="164" fontId="5" fillId="27" borderId="1" applyAlignment="1" pivotButton="0" quotePrefix="0" xfId="0">
      <alignment vertical="center"/>
    </xf>
    <xf numFmtId="164" fontId="41" fillId="27" borderId="1" applyAlignment="1" pivotButton="0" quotePrefix="0" xfId="0">
      <alignment vertical="center"/>
    </xf>
    <xf numFmtId="9" fontId="5" fillId="27" borderId="1" applyAlignment="1" pivotButton="0" quotePrefix="0" xfId="0">
      <alignment vertical="center"/>
    </xf>
    <xf numFmtId="0" fontId="43" fillId="26" borderId="1" applyAlignment="1" pivotButton="0" quotePrefix="0" xfId="0">
      <alignment vertical="center"/>
    </xf>
    <xf numFmtId="0" fontId="44" fillId="27" borderId="1" applyAlignment="1" pivotButton="0" quotePrefix="0" xfId="0">
      <alignment vertical="center"/>
    </xf>
    <xf numFmtId="0" fontId="45" fillId="26" borderId="1" applyAlignment="1" pivotButton="0" quotePrefix="0" xfId="0">
      <alignment vertical="center"/>
    </xf>
    <xf numFmtId="0" fontId="46" fillId="27" borderId="1" applyAlignment="1" pivotButton="0" quotePrefix="0" xfId="0">
      <alignment vertical="center"/>
    </xf>
    <xf numFmtId="0" fontId="47" fillId="26" borderId="1" applyAlignment="1" pivotButton="0" quotePrefix="0" xfId="0">
      <alignment vertical="center"/>
    </xf>
    <xf numFmtId="0" fontId="48" fillId="27" borderId="1" applyAlignment="1" pivotButton="0" quotePrefix="0" xfId="0">
      <alignment vertical="center"/>
    </xf>
    <xf numFmtId="0" fontId="49" fillId="4" borderId="1" pivotButton="0" quotePrefix="0" xfId="0"/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50" fillId="5" borderId="1" pivotButton="0" quotePrefix="0" xfId="0"/>
    <xf numFmtId="0" fontId="51" fillId="6" borderId="1" pivotButton="0" quotePrefix="0" xfId="0"/>
    <xf numFmtId="0" fontId="52" fillId="7" borderId="1" pivotButton="0" quotePrefix="0" xfId="0"/>
    <xf numFmtId="0" fontId="14" fillId="27" borderId="1" applyAlignment="1" pivotButton="0" quotePrefix="0" xfId="0">
      <alignment vertical="center"/>
    </xf>
    <xf numFmtId="0" fontId="53" fillId="27" borderId="1" applyAlignment="1" pivotButton="0" quotePrefix="0" xfId="0">
      <alignment vertical="center"/>
    </xf>
    <xf numFmtId="0" fontId="54" fillId="12" borderId="1" applyAlignment="1" pivotButton="0" quotePrefix="0" xfId="0">
      <alignment vertical="center"/>
    </xf>
    <xf numFmtId="164" fontId="55" fillId="27" borderId="1" applyAlignment="1" pivotButton="0" quotePrefix="0" xfId="0">
      <alignment vertical="center"/>
    </xf>
    <xf numFmtId="0" fontId="14" fillId="26" borderId="1" applyAlignment="1" pivotButton="0" quotePrefix="0" xfId="0">
      <alignment vertical="center"/>
    </xf>
    <xf numFmtId="0" fontId="53" fillId="26" borderId="1" applyAlignment="1" pivotButton="0" quotePrefix="0" xfId="0">
      <alignment vertical="center"/>
    </xf>
    <xf numFmtId="164" fontId="55" fillId="26" borderId="1" applyAlignment="1" pivotButton="0" quotePrefix="0" xfId="0">
      <alignment vertical="center"/>
    </xf>
    <xf numFmtId="0" fontId="54" fillId="13" borderId="1" applyAlignment="1" pivotButton="0" quotePrefix="0" xfId="0">
      <alignment vertical="center"/>
    </xf>
    <xf numFmtId="164" fontId="14" fillId="27" borderId="1" applyAlignment="1" pivotButton="0" quotePrefix="0" xfId="0">
      <alignment vertical="center"/>
    </xf>
    <xf numFmtId="9" fontId="56" fillId="27" borderId="1" applyAlignment="1" pivotButton="0" quotePrefix="0" xfId="0">
      <alignment vertical="center"/>
    </xf>
    <xf numFmtId="164" fontId="14" fillId="26" borderId="1" applyAlignment="1" pivotButton="0" quotePrefix="0" xfId="0">
      <alignment vertical="center"/>
    </xf>
    <xf numFmtId="9" fontId="56" fillId="26" borderId="1" applyAlignment="1" pivotButton="0" quotePrefix="0" xfId="0">
      <alignment vertical="center"/>
    </xf>
    <xf numFmtId="0" fontId="45" fillId="27" borderId="1" applyAlignment="1" pivotButton="0" quotePrefix="0" xfId="0">
      <alignment vertical="center"/>
    </xf>
    <xf numFmtId="0" fontId="48" fillId="26" borderId="1" applyAlignment="1" pivotButton="0" quotePrefix="0" xfId="0">
      <alignment vertical="center"/>
    </xf>
    <xf numFmtId="0" fontId="57" fillId="17" borderId="0" pivotButton="0" quotePrefix="0" xfId="0"/>
    <xf numFmtId="0" fontId="15" fillId="0" borderId="0" pivotButton="0" quotePrefix="0" xfId="0"/>
    <xf numFmtId="0" fontId="58" fillId="2" borderId="6" applyAlignment="1" pivotButton="0" quotePrefix="0" xfId="0">
      <alignment horizontal="center" vertical="center" wrapText="1"/>
    </xf>
    <xf numFmtId="0" fontId="40" fillId="17" borderId="0" applyAlignment="1" pivotButton="0" quotePrefix="0" xfId="0">
      <alignment vertical="center"/>
    </xf>
    <xf numFmtId="0" fontId="0" fillId="17" borderId="0" pivotButton="0" quotePrefix="0" xfId="0"/>
    <xf numFmtId="0" fontId="40" fillId="27" borderId="1" applyAlignment="1" pivotButton="0" quotePrefix="0" xfId="0">
      <alignment vertical="center"/>
    </xf>
    <xf numFmtId="0" fontId="54" fillId="14" borderId="1" applyAlignment="1" pivotButton="0" quotePrefix="0" xfId="0">
      <alignment horizontal="center" vertical="center"/>
    </xf>
    <xf numFmtId="3" fontId="5" fillId="27" borderId="1" applyAlignment="1" pivotButton="0" quotePrefix="0" xfId="0">
      <alignment vertical="center"/>
    </xf>
    <xf numFmtId="4" fontId="41" fillId="28" borderId="1" applyAlignment="1" pivotButton="0" quotePrefix="0" xfId="0">
      <alignment horizontal="right" vertical="center"/>
    </xf>
    <xf numFmtId="9" fontId="5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vertical="top" wrapText="1"/>
    </xf>
    <xf numFmtId="3" fontId="5" fillId="26" borderId="1" applyAlignment="1" pivotButton="0" quotePrefix="0" xfId="0">
      <alignment vertical="center"/>
    </xf>
    <xf numFmtId="9" fontId="5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vertical="top" wrapText="1"/>
    </xf>
    <xf numFmtId="0" fontId="54" fillId="13" borderId="1" applyAlignment="1" pivotButton="0" quotePrefix="0" xfId="0">
      <alignment horizontal="center" vertical="center"/>
    </xf>
    <xf numFmtId="0" fontId="54" fillId="27" borderId="1" applyAlignment="1" pivotButton="0" quotePrefix="0" xfId="0">
      <alignment vertical="center"/>
    </xf>
    <xf numFmtId="0" fontId="0" fillId="27" borderId="1" pivotButton="0" quotePrefix="0" xfId="0"/>
    <xf numFmtId="164" fontId="54" fillId="27" borderId="1" pivotButton="0" quotePrefix="0" xfId="0"/>
    <xf numFmtId="0" fontId="59" fillId="18" borderId="0" pivotButton="0" quotePrefix="0" xfId="0"/>
    <xf numFmtId="0" fontId="42" fillId="18" borderId="0" applyAlignment="1" pivotButton="0" quotePrefix="0" xfId="0">
      <alignment vertical="center"/>
    </xf>
    <xf numFmtId="0" fontId="0" fillId="18" borderId="0" pivotButton="0" quotePrefix="0" xfId="0"/>
    <xf numFmtId="0" fontId="42" fillId="26" borderId="1" applyAlignment="1" pivotButton="0" quotePrefix="0" xfId="0">
      <alignment vertical="center"/>
    </xf>
    <xf numFmtId="0" fontId="54" fillId="15" borderId="1" applyAlignment="1" pivotButton="0" quotePrefix="0" xfId="0">
      <alignment horizontal="center" vertical="center"/>
    </xf>
    <xf numFmtId="0" fontId="54" fillId="12" borderId="1" applyAlignment="1" pivotButton="0" quotePrefix="0" xfId="0">
      <alignment horizontal="center" vertical="center"/>
    </xf>
    <xf numFmtId="0" fontId="54" fillId="11" borderId="1" applyAlignment="1" pivotButton="0" quotePrefix="0" xfId="0">
      <alignment horizontal="center" vertical="center"/>
    </xf>
    <xf numFmtId="0" fontId="60" fillId="19" borderId="0" pivotButton="0" quotePrefix="0" xfId="0"/>
    <xf numFmtId="0" fontId="61" fillId="20" borderId="0" pivotButton="0" quotePrefix="0" xfId="0"/>
    <xf numFmtId="0" fontId="44" fillId="20" borderId="0" applyAlignment="1" pivotButton="0" quotePrefix="0" xfId="0">
      <alignment vertical="center"/>
    </xf>
    <xf numFmtId="0" fontId="0" fillId="20" borderId="0" pivotButton="0" quotePrefix="0" xfId="0"/>
    <xf numFmtId="0" fontId="44" fillId="26" borderId="1" applyAlignment="1" pivotButton="0" quotePrefix="0" xfId="0">
      <alignment vertical="center"/>
    </xf>
    <xf numFmtId="0" fontId="62" fillId="21" borderId="0" pivotButton="0" quotePrefix="0" xfId="0"/>
    <xf numFmtId="0" fontId="45" fillId="21" borderId="0" applyAlignment="1" pivotButton="0" quotePrefix="0" xfId="0">
      <alignment vertical="center"/>
    </xf>
    <xf numFmtId="0" fontId="0" fillId="21" borderId="0" pivotButton="0" quotePrefix="0" xfId="0"/>
    <xf numFmtId="0" fontId="41" fillId="28" borderId="1" applyAlignment="1" pivotButton="0" quotePrefix="0" xfId="0">
      <alignment horizontal="right" vertical="center"/>
    </xf>
    <xf numFmtId="0" fontId="5" fillId="2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63" fillId="22" borderId="0" pivotButton="0" quotePrefix="0" xfId="0"/>
    <xf numFmtId="0" fontId="46" fillId="22" borderId="0" applyAlignment="1" pivotButton="0" quotePrefix="0" xfId="0">
      <alignment vertical="center"/>
    </xf>
    <xf numFmtId="0" fontId="0" fillId="22" borderId="0" pivotButton="0" quotePrefix="0" xfId="0"/>
    <xf numFmtId="0" fontId="46" fillId="26" borderId="1" applyAlignment="1" pivotButton="0" quotePrefix="0" xfId="0">
      <alignment vertical="center"/>
    </xf>
    <xf numFmtId="0" fontId="64" fillId="23" borderId="0" pivotButton="0" quotePrefix="0" xfId="0"/>
    <xf numFmtId="0" fontId="47" fillId="23" borderId="0" applyAlignment="1" pivotButton="0" quotePrefix="0" xfId="0">
      <alignment vertical="center"/>
    </xf>
    <xf numFmtId="0" fontId="0" fillId="23" borderId="0" pivotButton="0" quotePrefix="0" xfId="0"/>
    <xf numFmtId="0" fontId="47" fillId="27" borderId="1" applyAlignment="1" pivotButton="0" quotePrefix="0" xfId="0">
      <alignment vertical="center"/>
    </xf>
    <xf numFmtId="0" fontId="65" fillId="24" borderId="0" pivotButton="0" quotePrefix="0" xfId="0"/>
    <xf numFmtId="0" fontId="48" fillId="24" borderId="0" applyAlignment="1" pivotButton="0" quotePrefix="0" xfId="0">
      <alignment vertical="center"/>
    </xf>
    <xf numFmtId="0" fontId="0" fillId="24" borderId="0" pivotButton="0" quotePrefix="0" xfId="0"/>
    <xf numFmtId="0" fontId="43" fillId="27" borderId="1" applyAlignment="1" pivotButton="0" quotePrefix="0" xfId="0">
      <alignment vertical="center"/>
    </xf>
    <xf numFmtId="0" fontId="67" fillId="27" borderId="1" applyAlignment="1" pivotButton="0" quotePrefix="0" xfId="0">
      <alignment vertical="center"/>
    </xf>
    <xf numFmtId="0" fontId="67" fillId="26" borderId="1" applyAlignment="1" pivotButton="0" quotePrefix="0" xfId="0">
      <alignment vertical="center"/>
    </xf>
    <xf numFmtId="165" fontId="28" fillId="25" borderId="2" applyAlignment="1" pivotButton="0" quotePrefix="0" xfId="0">
      <alignment horizontal="center" vertical="center"/>
    </xf>
    <xf numFmtId="165" fontId="30" fillId="25" borderId="2" applyAlignment="1" pivotButton="0" quotePrefix="0" xfId="0">
      <alignment horizontal="center" vertical="center"/>
    </xf>
    <xf numFmtId="165" fontId="5" fillId="26" borderId="1" applyAlignment="1" pivotButton="0" quotePrefix="0" xfId="0">
      <alignment vertical="center"/>
    </xf>
    <xf numFmtId="165" fontId="5" fillId="27" borderId="1" applyAlignment="1" pivotButton="0" quotePrefix="0" xfId="0">
      <alignment vertical="center"/>
    </xf>
    <xf numFmtId="165" fontId="41" fillId="28" borderId="1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165" fontId="41" fillId="26" borderId="1" applyAlignment="1" pivotButton="0" quotePrefix="0" xfId="0">
      <alignment vertical="center"/>
    </xf>
    <xf numFmtId="166" fontId="5" fillId="26" borderId="1" applyAlignment="1" pivotButton="0" quotePrefix="0" xfId="0">
      <alignment vertical="center"/>
    </xf>
    <xf numFmtId="165" fontId="41" fillId="27" borderId="1" applyAlignment="1" pivotButton="0" quotePrefix="0" xfId="0">
      <alignment vertical="center"/>
    </xf>
    <xf numFmtId="166" fontId="5" fillId="27" borderId="1" applyAlignment="1" pivotButton="0" quotePrefix="0" xfId="0">
      <alignment vertical="center"/>
    </xf>
    <xf numFmtId="166" fontId="5" fillId="0" borderId="1" applyAlignment="1" pivotButton="0" quotePrefix="0" xfId="0">
      <alignment horizontal="center"/>
    </xf>
    <xf numFmtId="165" fontId="55" fillId="27" borderId="1" applyAlignment="1" pivotButton="0" quotePrefix="0" xfId="0">
      <alignment vertical="center"/>
    </xf>
    <xf numFmtId="165" fontId="55" fillId="26" borderId="1" applyAlignment="1" pivotButton="0" quotePrefix="0" xfId="0">
      <alignment vertical="center"/>
    </xf>
  </cellXfs>
  <cellStyles count="1">
    <cellStyle name="Normal" xfId="0" builtinId="0" hidden="0"/>
  </cellStyles>
  <dxfs count="17">
    <dxf>
      <font>
        <name val="Arial"/>
        <b val="1"/>
        <color rgb="0014532D"/>
        <sz val="10"/>
      </font>
      <fill>
        <patternFill patternType="solid">
          <fgColor rgb="00BBF7D0"/>
          <bgColor rgb="00BBF7D0"/>
        </patternFill>
      </fill>
    </dxf>
    <dxf>
      <font>
        <name val="Arial"/>
        <b val="1"/>
        <color rgb="001E3A8A"/>
        <sz val="10"/>
      </font>
      <fill>
        <patternFill patternType="solid">
          <fgColor rgb="00BFDBFE"/>
          <bgColor rgb="00BFDBFE"/>
        </patternFill>
      </fill>
    </dxf>
    <dxf>
      <font>
        <name val="Arial"/>
        <b val="1"/>
        <color rgb="0078350F"/>
        <sz val="10"/>
      </font>
      <fill>
        <patternFill patternType="solid">
          <fgColor rgb="00FDE68A"/>
          <bgColor rgb="00FDE68A"/>
        </patternFill>
      </fill>
    </dxf>
    <dxf>
      <font>
        <name val="Arial"/>
        <b val="1"/>
        <color rgb="007F1D1D"/>
        <sz val="10"/>
      </font>
      <fill>
        <patternFill patternType="solid">
          <fgColor rgb="00FECACA"/>
          <bgColor rgb="00FECACA"/>
        </patternFill>
      </fill>
    </dxf>
    <dxf>
      <font>
        <name val="Arial"/>
        <b val="1"/>
        <color rgb="004C1D95"/>
        <sz val="10"/>
      </font>
      <fill>
        <patternFill patternType="solid">
          <fgColor rgb="00DDD6FE"/>
          <bgColor rgb="00DDD6FE"/>
        </patternFill>
      </fill>
    </dxf>
    <dxf>
      <font>
        <name val="Arial"/>
        <b val="1"/>
        <color rgb="00475569"/>
        <sz val="10"/>
      </font>
      <fill>
        <patternFill patternType="solid">
          <fgColor rgb="00E2E8F0"/>
          <bgColor rgb="00E2E8F0"/>
        </patternFill>
      </fill>
    </dxf>
    <dxf>
      <font>
        <name val="Arial"/>
        <color rgb="0014532D"/>
        <sz val="10"/>
      </font>
      <fill>
        <patternFill patternType="solid">
          <fgColor rgb="00BBF7D0"/>
          <bgColor rgb="00BBF7D0"/>
        </patternFill>
      </fill>
    </dxf>
    <dxf>
      <font>
        <name val="Arial"/>
        <color rgb="001E3A8A"/>
        <sz val="10"/>
      </font>
      <fill>
        <patternFill patternType="solid">
          <fgColor rgb="00BFDBFE"/>
          <bgColor rgb="00BFDBFE"/>
        </patternFill>
      </fill>
    </dxf>
    <dxf>
      <font>
        <name val="Arial"/>
        <color rgb="0078350F"/>
        <sz val="10"/>
      </font>
      <fill>
        <patternFill patternType="solid">
          <fgColor rgb="00FDE68A"/>
          <bgColor rgb="00FDE68A"/>
        </patternFill>
      </fill>
    </dxf>
    <dxf>
      <font>
        <name val="Arial"/>
        <color rgb="007C2D12"/>
        <sz val="10"/>
      </font>
      <fill>
        <patternFill patternType="solid">
          <fgColor rgb="00FED7AA"/>
          <bgColor rgb="00FED7AA"/>
        </patternFill>
      </fill>
    </dxf>
    <dxf>
      <font>
        <name val="Arial"/>
        <b val="1"/>
        <color rgb="000F172A"/>
        <sz val="10"/>
      </font>
      <fill>
        <patternFill patternType="solid">
          <fgColor rgb="0086EFAC"/>
          <bgColor rgb="0086EFAC"/>
        </patternFill>
      </fill>
    </dxf>
    <dxf>
      <font>
        <name val="Arial"/>
        <b val="1"/>
        <color rgb="000F172A"/>
        <sz val="10"/>
      </font>
      <fill>
        <patternFill patternType="solid">
          <fgColor rgb="0093C5FD"/>
          <bgColor rgb="0093C5FD"/>
        </patternFill>
      </fill>
    </dxf>
    <dxf>
      <font>
        <name val="Arial"/>
        <b val="1"/>
        <color rgb="000F172A"/>
        <sz val="10"/>
      </font>
      <fill>
        <patternFill patternType="solid">
          <fgColor rgb="00FDE047"/>
          <bgColor rgb="00FDE047"/>
        </patternFill>
      </fill>
    </dxf>
    <dxf>
      <font>
        <name val="Arial"/>
        <b val="1"/>
        <color rgb="000F172A"/>
        <sz val="10"/>
      </font>
      <fill>
        <patternFill patternType="solid">
          <fgColor rgb="00FDBA74"/>
          <bgColor rgb="00FDBA74"/>
        </patternFill>
      </fill>
    </dxf>
    <dxf>
      <font>
        <name val="Arial"/>
        <b val="1"/>
        <color rgb="000F172A"/>
        <sz val="10"/>
      </font>
      <fill>
        <patternFill patternType="solid">
          <fgColor rgb="00FCA5A5"/>
          <bgColor rgb="00FCA5A5"/>
        </patternFill>
      </fill>
    </dxf>
    <dxf>
      <font>
        <name val="Arial"/>
        <b val="1"/>
        <color rgb="007C2D12"/>
        <sz val="10"/>
      </font>
      <fill>
        <patternFill patternType="solid">
          <fgColor rgb="00FDBA74"/>
          <bgColor rgb="00FDBA74"/>
        </patternFill>
      </fill>
    </dxf>
    <dxf>
      <font>
        <name val="Arial"/>
        <b val="1"/>
        <color rgb="007F1D1D"/>
        <sz val="10"/>
      </font>
      <fill>
        <patternFill patternType="solid">
          <fgColor rgb="00FCA5A5"/>
          <bgColor rgb="00FCA5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do Patrimonio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'DASHBOARD'!D16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6366F1"/>
              </a:solidFill>
              <a:ln>
                <a:prstDash val="solid"/>
              </a:ln>
            </spPr>
          </dPt>
          <dPt>
            <idx val="1"/>
            <spPr>
              <a:solidFill>
                <a:srgbClr val="10B981"/>
              </a:solidFill>
              <a:ln>
                <a:prstDash val="solid"/>
              </a:ln>
            </spPr>
          </dPt>
          <dPt>
            <idx val="2"/>
            <spPr>
              <a:solidFill>
                <a:srgbClr val="F59E0B"/>
              </a:solidFill>
              <a:ln>
                <a:prstDash val="solid"/>
              </a:ln>
            </spPr>
          </dPt>
          <dPt>
            <idx val="3"/>
            <spPr>
              <a:solidFill>
                <a:srgbClr val="EF4444"/>
              </a:solidFill>
              <a:ln>
                <a:prstDash val="solid"/>
              </a:ln>
            </spPr>
          </dPt>
          <dPt>
            <idx val="4"/>
            <spPr>
              <a:solidFill>
                <a:srgbClr val="3B82F6"/>
              </a:solidFill>
              <a:ln>
                <a:prstDash val="solid"/>
              </a:ln>
            </spPr>
          </dPt>
          <dPt>
            <idx val="5"/>
            <spPr>
              <a:solidFill>
                <a:srgbClr val="8B5CF6"/>
              </a:solidFill>
              <a:ln>
                <a:prstDash val="solid"/>
              </a:ln>
            </spPr>
          </dPt>
          <dPt>
            <idx val="6"/>
            <spPr>
              <a:solidFill>
                <a:srgbClr val="14B8A6"/>
              </a:solidFill>
              <a:ln>
                <a:prstDash val="solid"/>
              </a:ln>
            </spPr>
          </dPt>
          <dPt>
            <idx val="7"/>
            <spPr>
              <a:solidFill>
                <a:srgbClr val="F97316"/>
              </a:solidFill>
              <a:ln>
                <a:prstDash val="solid"/>
              </a:ln>
            </spPr>
          </dPt>
          <cat>
            <numRef>
              <f>'DASHBOARD'!$X$17:$X$24</f>
            </numRef>
          </cat>
          <val>
            <numRef>
              <f>'DASHBOARD'!$D$17:$D$24</f>
            </numRef>
          </val>
        </ser>
        <dLbls>
          <showVal val="0"/>
          <showCatName val="1"/>
          <showPercent val="0"/>
          <showLeaderLines val="1"/>
        </dLbls>
        <firstSliceAng val="0"/>
      </pieChart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MMD</author>
  </authors>
  <commentList>
    <comment ref="E129" authorId="0" shapeId="0">
      <text>
        <t>MODELL EVENTOS 0418</t>
      </text>
    </comment>
  </commentList>
</comments>
</file>

<file path=xl/comments/comment2.xml><?xml version="1.0" encoding="utf-8"?>
<comments xmlns="http://schemas.openxmlformats.org/spreadsheetml/2006/main">
  <authors>
    <author>MMD</author>
  </authors>
  <commentList>
    <comment ref="M11" authorId="0" shapeId="0">
      <text>
        <t>** MUITO PESADO - NAO CONSEGUI VER ATRAS | Serial Fab.: 4 ZEROS</t>
      </text>
    </comment>
    <comment ref="M37" authorId="0" shapeId="0">
      <text>
        <t>*Comprou quarta, 02/10/24. | Serial Fab.: etiqueta riscada no final</t>
      </text>
    </comment>
    <comment ref="E108" authorId="0" shapeId="0">
      <text>
        <t>0420617199 / 328H3187218 / 1602</t>
      </text>
    </comment>
    <comment ref="M129" authorId="0" shapeId="0">
      <text>
        <t>*BOX COM 04 CHANNEL UHF WIRELESS RECEIVER / 04 ANTENNAS / 04 UHF WIRELESS BODYPACK TRANSMITTERS / 04 BLACK COLOR WIRELESS HEADSET MICROPHONES / PILHA / POWER ADAPTER / 6.5 MM AUDIO CABLE | Serial Fab.: NA CAIXA O CODIGO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14</row>
      <rowOff>0</rowOff>
    </from>
    <ext cx="3168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mmd.app/s/MMD-ILU-0065" TargetMode="External" Id="rId1" /><Relationship Type="http://schemas.openxmlformats.org/officeDocument/2006/relationships/hyperlink" Target="https://mmd.app/s/MMD-ILU-0066" TargetMode="External" Id="rId2" /><Relationship Type="http://schemas.openxmlformats.org/officeDocument/2006/relationships/hyperlink" Target="https://mmd.app/s/MMD-ILU-0142" TargetMode="External" Id="rId3" /><Relationship Type="http://schemas.openxmlformats.org/officeDocument/2006/relationships/hyperlink" Target="https://mmd.app/s/MMD-ILU-0143" TargetMode="External" Id="rId4" /><Relationship Type="http://schemas.openxmlformats.org/officeDocument/2006/relationships/hyperlink" Target="https://mmd.app/s/MMD-ILU-0144" TargetMode="External" Id="rId5" /><Relationship Type="http://schemas.openxmlformats.org/officeDocument/2006/relationships/hyperlink" Target="https://mmd.app/s/MMD-ILU-0145" TargetMode="External" Id="rId6" /><Relationship Type="http://schemas.openxmlformats.org/officeDocument/2006/relationships/hyperlink" Target="https://mmd.app/s/MMD-ILU-0146" TargetMode="External" Id="rId7" /><Relationship Type="http://schemas.openxmlformats.org/officeDocument/2006/relationships/hyperlink" Target="https://mmd.app/s/MMD-ILU-0147" TargetMode="External" Id="rId8" /><Relationship Type="http://schemas.openxmlformats.org/officeDocument/2006/relationships/hyperlink" Target="https://mmd.app/s/MMD-ILU-0148" TargetMode="External" Id="rId9" /><Relationship Type="http://schemas.openxmlformats.org/officeDocument/2006/relationships/hyperlink" Target="https://mmd.app/s/MMD-ILU-0149" TargetMode="External" Id="rId10" /><Relationship Type="http://schemas.openxmlformats.org/officeDocument/2006/relationships/hyperlink" Target="https://mmd.app/s/MMD-ILU-0150" TargetMode="External" Id="rId11" /><Relationship Type="http://schemas.openxmlformats.org/officeDocument/2006/relationships/hyperlink" Target="https://mmd.app/s/MMD-ILU-0151" TargetMode="External" Id="rId12" /><Relationship Type="http://schemas.openxmlformats.org/officeDocument/2006/relationships/hyperlink" Target="https://mmd.app/s/MMD-ILU-0152" TargetMode="External" Id="rId13" /><Relationship Type="http://schemas.openxmlformats.org/officeDocument/2006/relationships/hyperlink" Target="https://mmd.app/s/MMD-ILU-0153" TargetMode="External" Id="rId14" /><Relationship Type="http://schemas.openxmlformats.org/officeDocument/2006/relationships/hyperlink" Target="https://mmd.app/s/MMD-ILU-0154" TargetMode="External" Id="rId15" /><Relationship Type="http://schemas.openxmlformats.org/officeDocument/2006/relationships/hyperlink" Target="https://mmd.app/s/MMD-ILU-0155" TargetMode="External" Id="rId16" /><Relationship Type="http://schemas.openxmlformats.org/officeDocument/2006/relationships/hyperlink" Target="https://mmd.app/s/MMD-ILU-0185" TargetMode="External" Id="rId17" /><Relationship Type="http://schemas.openxmlformats.org/officeDocument/2006/relationships/hyperlink" Target="https://mmd.app/s/MMD-ILU-0186" TargetMode="External" Id="rId18" /><Relationship Type="http://schemas.openxmlformats.org/officeDocument/2006/relationships/hyperlink" Target="https://mmd.app/s/MMD-ILU-0082" TargetMode="External" Id="rId19" /><Relationship Type="http://schemas.openxmlformats.org/officeDocument/2006/relationships/hyperlink" Target="https://mmd.app/s/MMD-ILU-0083" TargetMode="External" Id="rId20" /><Relationship Type="http://schemas.openxmlformats.org/officeDocument/2006/relationships/hyperlink" Target="https://mmd.app/s/MMD-ILU-0187" TargetMode="External" Id="rId21" /><Relationship Type="http://schemas.openxmlformats.org/officeDocument/2006/relationships/hyperlink" Target="https://mmd.app/s/MMD-ILU-0060" TargetMode="External" Id="rId22" /><Relationship Type="http://schemas.openxmlformats.org/officeDocument/2006/relationships/hyperlink" Target="https://mmd.app/s/MMD-ILU-0061" TargetMode="External" Id="rId23" /><Relationship Type="http://schemas.openxmlformats.org/officeDocument/2006/relationships/hyperlink" Target="https://mmd.app/s/MMD-ILU-0062" TargetMode="External" Id="rId24" /><Relationship Type="http://schemas.openxmlformats.org/officeDocument/2006/relationships/hyperlink" Target="https://mmd.app/s/MMD-ILU-0064" TargetMode="External" Id="rId25" /><Relationship Type="http://schemas.openxmlformats.org/officeDocument/2006/relationships/hyperlink" Target="https://mmd.app/s/MMD-ILU-0118" TargetMode="External" Id="rId26" /><Relationship Type="http://schemas.openxmlformats.org/officeDocument/2006/relationships/hyperlink" Target="https://mmd.app/s/MMD-ILU-0119" TargetMode="External" Id="rId27" /><Relationship Type="http://schemas.openxmlformats.org/officeDocument/2006/relationships/hyperlink" Target="https://mmd.app/s/MMD-ILU-0120" TargetMode="External" Id="rId28" /><Relationship Type="http://schemas.openxmlformats.org/officeDocument/2006/relationships/hyperlink" Target="https://mmd.app/s/MMD-ILU-0121" TargetMode="External" Id="rId29" /><Relationship Type="http://schemas.openxmlformats.org/officeDocument/2006/relationships/hyperlink" Target="https://mmd.app/s/MMD-ILU-0122" TargetMode="External" Id="rId30" /><Relationship Type="http://schemas.openxmlformats.org/officeDocument/2006/relationships/hyperlink" Target="https://mmd.app/s/MMD-ILU-0123" TargetMode="External" Id="rId31" /><Relationship Type="http://schemas.openxmlformats.org/officeDocument/2006/relationships/hyperlink" Target="https://mmd.app/s/MMD-ILU-0124" TargetMode="External" Id="rId32" /><Relationship Type="http://schemas.openxmlformats.org/officeDocument/2006/relationships/hyperlink" Target="https://mmd.app/s/MMD-ILU-0125" TargetMode="External" Id="rId33" /><Relationship Type="http://schemas.openxmlformats.org/officeDocument/2006/relationships/hyperlink" Target="https://mmd.app/s/MMD-ILU-0126" TargetMode="External" Id="rId34" /><Relationship Type="http://schemas.openxmlformats.org/officeDocument/2006/relationships/hyperlink" Target="https://mmd.app/s/MMD-ILU-0127" TargetMode="External" Id="rId35" /><Relationship Type="http://schemas.openxmlformats.org/officeDocument/2006/relationships/hyperlink" Target="https://mmd.app/s/MMD-ILU-0128" TargetMode="External" Id="rId36" /><Relationship Type="http://schemas.openxmlformats.org/officeDocument/2006/relationships/hyperlink" Target="https://mmd.app/s/MMD-ILU-0129" TargetMode="External" Id="rId37" /><Relationship Type="http://schemas.openxmlformats.org/officeDocument/2006/relationships/hyperlink" Target="https://mmd.app/s/MMD-ILU-0130" TargetMode="External" Id="rId38" /><Relationship Type="http://schemas.openxmlformats.org/officeDocument/2006/relationships/hyperlink" Target="https://mmd.app/s/MMD-ILU-0131" TargetMode="External" Id="rId39" /><Relationship Type="http://schemas.openxmlformats.org/officeDocument/2006/relationships/hyperlink" Target="https://mmd.app/s/MMD-ILU-0132" TargetMode="External" Id="rId40" /><Relationship Type="http://schemas.openxmlformats.org/officeDocument/2006/relationships/hyperlink" Target="https://mmd.app/s/MMD-ILU-0133" TargetMode="External" Id="rId41" /><Relationship Type="http://schemas.openxmlformats.org/officeDocument/2006/relationships/hyperlink" Target="https://mmd.app/s/MMD-ILU-0134" TargetMode="External" Id="rId42" /><Relationship Type="http://schemas.openxmlformats.org/officeDocument/2006/relationships/hyperlink" Target="https://mmd.app/s/MMD-ILU-0135" TargetMode="External" Id="rId43" /><Relationship Type="http://schemas.openxmlformats.org/officeDocument/2006/relationships/hyperlink" Target="https://mmd.app/s/MMD-ILU-0136" TargetMode="External" Id="rId44" /><Relationship Type="http://schemas.openxmlformats.org/officeDocument/2006/relationships/hyperlink" Target="https://mmd.app/s/MMD-ILU-0137" TargetMode="External" Id="rId45" /><Relationship Type="http://schemas.openxmlformats.org/officeDocument/2006/relationships/hyperlink" Target="https://mmd.app/s/MMD-ILU-0138" TargetMode="External" Id="rId46" /><Relationship Type="http://schemas.openxmlformats.org/officeDocument/2006/relationships/hyperlink" Target="https://mmd.app/s/MMD-ILU-0139" TargetMode="External" Id="rId47" /><Relationship Type="http://schemas.openxmlformats.org/officeDocument/2006/relationships/hyperlink" Target="https://mmd.app/s/MMD-ILU-0140" TargetMode="External" Id="rId48" /><Relationship Type="http://schemas.openxmlformats.org/officeDocument/2006/relationships/hyperlink" Target="https://mmd.app/s/MMD-ILU-0141" TargetMode="External" Id="rId49" /><Relationship Type="http://schemas.openxmlformats.org/officeDocument/2006/relationships/hyperlink" Target="https://mmd.app/s/MMD-ILU-0165" TargetMode="External" Id="rId50" /><Relationship Type="http://schemas.openxmlformats.org/officeDocument/2006/relationships/hyperlink" Target="https://mmd.app/s/MMD-ILU-0166" TargetMode="External" Id="rId51" /><Relationship Type="http://schemas.openxmlformats.org/officeDocument/2006/relationships/hyperlink" Target="https://mmd.app/s/MMD-ILU-0167" TargetMode="External" Id="rId52" /><Relationship Type="http://schemas.openxmlformats.org/officeDocument/2006/relationships/hyperlink" Target="https://mmd.app/s/MMD-ILU-0168" TargetMode="External" Id="rId53" /><Relationship Type="http://schemas.openxmlformats.org/officeDocument/2006/relationships/hyperlink" Target="https://mmd.app/s/MMD-ILU-0169" TargetMode="External" Id="rId54" /><Relationship Type="http://schemas.openxmlformats.org/officeDocument/2006/relationships/hyperlink" Target="https://mmd.app/s/MMD-ILU-0170" TargetMode="External" Id="rId55" /><Relationship Type="http://schemas.openxmlformats.org/officeDocument/2006/relationships/hyperlink" Target="https://mmd.app/s/MMD-ILU-0188" TargetMode="External" Id="rId56" /><Relationship Type="http://schemas.openxmlformats.org/officeDocument/2006/relationships/hyperlink" Target="https://mmd.app/s/MMD-ILU-0189" TargetMode="External" Id="rId57" /><Relationship Type="http://schemas.openxmlformats.org/officeDocument/2006/relationships/hyperlink" Target="https://mmd.app/s/MMD-ILU-0190" TargetMode="External" Id="rId58" /><Relationship Type="http://schemas.openxmlformats.org/officeDocument/2006/relationships/hyperlink" Target="https://mmd.app/s/MMD-ILU-0013" TargetMode="External" Id="rId59" /><Relationship Type="http://schemas.openxmlformats.org/officeDocument/2006/relationships/hyperlink" Target="https://mmd.app/s/MMD-ILU-0019" TargetMode="External" Id="rId60" /><Relationship Type="http://schemas.openxmlformats.org/officeDocument/2006/relationships/hyperlink" Target="https://mmd.app/s/MMD-ILU-0020" TargetMode="External" Id="rId61" /><Relationship Type="http://schemas.openxmlformats.org/officeDocument/2006/relationships/hyperlink" Target="https://mmd.app/s/MMD-ILU-0021" TargetMode="External" Id="rId62" /><Relationship Type="http://schemas.openxmlformats.org/officeDocument/2006/relationships/hyperlink" Target="https://mmd.app/s/MMD-ILU-0022" TargetMode="External" Id="rId63" /><Relationship Type="http://schemas.openxmlformats.org/officeDocument/2006/relationships/hyperlink" Target="https://mmd.app/s/MMD-ILU-0024" TargetMode="External" Id="rId64" /><Relationship Type="http://schemas.openxmlformats.org/officeDocument/2006/relationships/hyperlink" Target="https://mmd.app/s/MMD-ILU-0025" TargetMode="External" Id="rId65" /><Relationship Type="http://schemas.openxmlformats.org/officeDocument/2006/relationships/hyperlink" Target="https://mmd.app/s/MMD-ILU-0026" TargetMode="External" Id="rId66" /><Relationship Type="http://schemas.openxmlformats.org/officeDocument/2006/relationships/hyperlink" Target="https://mmd.app/s/MMD-ILU-0027" TargetMode="External" Id="rId67" /><Relationship Type="http://schemas.openxmlformats.org/officeDocument/2006/relationships/hyperlink" Target="https://mmd.app/s/MMD-ILU-0028" TargetMode="External" Id="rId68" /><Relationship Type="http://schemas.openxmlformats.org/officeDocument/2006/relationships/hyperlink" Target="https://mmd.app/s/MMD-ILU-0029" TargetMode="External" Id="rId69" /><Relationship Type="http://schemas.openxmlformats.org/officeDocument/2006/relationships/hyperlink" Target="https://mmd.app/s/MMD-ILU-0030" TargetMode="External" Id="rId70" /><Relationship Type="http://schemas.openxmlformats.org/officeDocument/2006/relationships/hyperlink" Target="https://mmd.app/s/MMD-ILU-0031" TargetMode="External" Id="rId71" /><Relationship Type="http://schemas.openxmlformats.org/officeDocument/2006/relationships/hyperlink" Target="https://mmd.app/s/MMD-ILU-0033" TargetMode="External" Id="rId72" /><Relationship Type="http://schemas.openxmlformats.org/officeDocument/2006/relationships/hyperlink" Target="https://mmd.app/s/MMD-ILU-0035" TargetMode="External" Id="rId73" /><Relationship Type="http://schemas.openxmlformats.org/officeDocument/2006/relationships/hyperlink" Target="https://mmd.app/s/MMD-ILU-0036" TargetMode="External" Id="rId74" /><Relationship Type="http://schemas.openxmlformats.org/officeDocument/2006/relationships/hyperlink" Target="https://mmd.app/s/MMD-ILU-0037" TargetMode="External" Id="rId75" /><Relationship Type="http://schemas.openxmlformats.org/officeDocument/2006/relationships/hyperlink" Target="https://mmd.app/s/MMD-ILU-0039" TargetMode="External" Id="rId76" /><Relationship Type="http://schemas.openxmlformats.org/officeDocument/2006/relationships/hyperlink" Target="https://mmd.app/s/MMD-ILU-0040" TargetMode="External" Id="rId77" /><Relationship Type="http://schemas.openxmlformats.org/officeDocument/2006/relationships/hyperlink" Target="https://mmd.app/s/MMD-ILU-0156" TargetMode="External" Id="rId78" /><Relationship Type="http://schemas.openxmlformats.org/officeDocument/2006/relationships/hyperlink" Target="https://mmd.app/s/MMD-ILU-0157" TargetMode="External" Id="rId79" /><Relationship Type="http://schemas.openxmlformats.org/officeDocument/2006/relationships/hyperlink" Target="https://mmd.app/s/MMD-ILU-0158" TargetMode="External" Id="rId80" /><Relationship Type="http://schemas.openxmlformats.org/officeDocument/2006/relationships/hyperlink" Target="https://mmd.app/s/MMD-ILU-0159" TargetMode="External" Id="rId81" /><Relationship Type="http://schemas.openxmlformats.org/officeDocument/2006/relationships/hyperlink" Target="https://mmd.app/s/MMD-ILU-0160" TargetMode="External" Id="rId82" /><Relationship Type="http://schemas.openxmlformats.org/officeDocument/2006/relationships/hyperlink" Target="https://mmd.app/s/MMD-ILU-0161" TargetMode="External" Id="rId83" /><Relationship Type="http://schemas.openxmlformats.org/officeDocument/2006/relationships/hyperlink" Target="https://mmd.app/s/MMD-ILU-0162" TargetMode="External" Id="rId84" /><Relationship Type="http://schemas.openxmlformats.org/officeDocument/2006/relationships/hyperlink" Target="https://mmd.app/s/MMD-ILU-0163" TargetMode="External" Id="rId85" /><Relationship Type="http://schemas.openxmlformats.org/officeDocument/2006/relationships/hyperlink" Target="https://mmd.app/s/MMD-ILU-0164" TargetMode="External" Id="rId86" /><Relationship Type="http://schemas.openxmlformats.org/officeDocument/2006/relationships/hyperlink" Target="https://mmd.app/s/MMD-ILU-0171" TargetMode="External" Id="rId87" /><Relationship Type="http://schemas.openxmlformats.org/officeDocument/2006/relationships/hyperlink" Target="https://mmd.app/s/MMD-ILU-0172" TargetMode="External" Id="rId88" /><Relationship Type="http://schemas.openxmlformats.org/officeDocument/2006/relationships/hyperlink" Target="https://mmd.app/s/MMD-ILU-0191" TargetMode="External" Id="rId89" /><Relationship Type="http://schemas.openxmlformats.org/officeDocument/2006/relationships/hyperlink" Target="https://mmd.app/s/MMD-ILU-0192" TargetMode="External" Id="rId90" /><Relationship Type="http://schemas.openxmlformats.org/officeDocument/2006/relationships/hyperlink" Target="https://mmd.app/s/MMD-ILU-0193" TargetMode="External" Id="rId91" /><Relationship Type="http://schemas.openxmlformats.org/officeDocument/2006/relationships/hyperlink" Target="https://mmd.app/s/MMD-ILU-0194" TargetMode="External" Id="rId92" /><Relationship Type="http://schemas.openxmlformats.org/officeDocument/2006/relationships/hyperlink" Target="https://mmd.app/s/MMD-ILU-0195" TargetMode="External" Id="rId93" /><Relationship Type="http://schemas.openxmlformats.org/officeDocument/2006/relationships/hyperlink" Target="https://mmd.app/s/MMD-ILU-0196" TargetMode="External" Id="rId94" /><Relationship Type="http://schemas.openxmlformats.org/officeDocument/2006/relationships/hyperlink" Target="https://mmd.app/s/MMD-ILU-0197" TargetMode="External" Id="rId95" /><Relationship Type="http://schemas.openxmlformats.org/officeDocument/2006/relationships/hyperlink" Target="https://mmd.app/s/MMD-ILU-0198" TargetMode="External" Id="rId96" /><Relationship Type="http://schemas.openxmlformats.org/officeDocument/2006/relationships/hyperlink" Target="https://mmd.app/s/MMD-ILU-0199" TargetMode="External" Id="rId97" /><Relationship Type="http://schemas.openxmlformats.org/officeDocument/2006/relationships/hyperlink" Target="https://mmd.app/s/MMD-ILU-0200" TargetMode="External" Id="rId98" /><Relationship Type="http://schemas.openxmlformats.org/officeDocument/2006/relationships/hyperlink" Target="https://mmd.app/s/MMD-ILU-0201" TargetMode="External" Id="rId99" /><Relationship Type="http://schemas.openxmlformats.org/officeDocument/2006/relationships/hyperlink" Target="https://mmd.app/s/MMD-ILU-0202" TargetMode="External" Id="rId100" /><Relationship Type="http://schemas.openxmlformats.org/officeDocument/2006/relationships/hyperlink" Target="https://mmd.app/s/MMD-ILU-0203" TargetMode="External" Id="rId101" /><Relationship Type="http://schemas.openxmlformats.org/officeDocument/2006/relationships/hyperlink" Target="https://mmd.app/s/MMD-ILU-0204" TargetMode="External" Id="rId102" /><Relationship Type="http://schemas.openxmlformats.org/officeDocument/2006/relationships/hyperlink" Target="https://mmd.app/s/MMD-ILU-0205" TargetMode="External" Id="rId103" /><Relationship Type="http://schemas.openxmlformats.org/officeDocument/2006/relationships/hyperlink" Target="https://mmd.app/s/MMD-ILU-0206" TargetMode="External" Id="rId104" /><Relationship Type="http://schemas.openxmlformats.org/officeDocument/2006/relationships/hyperlink" Target="https://mmd.app/s/MMD-ILU-0207" TargetMode="External" Id="rId105" /><Relationship Type="http://schemas.openxmlformats.org/officeDocument/2006/relationships/hyperlink" Target="https://mmd.app/s/MMD-ILU-0208" TargetMode="External" Id="rId106" /><Relationship Type="http://schemas.openxmlformats.org/officeDocument/2006/relationships/hyperlink" Target="https://mmd.app/s/MMD-ILU-0209" TargetMode="External" Id="rId107" /><Relationship Type="http://schemas.openxmlformats.org/officeDocument/2006/relationships/hyperlink" Target="https://mmd.app/s/MMD-ILU-0210" TargetMode="External" Id="rId108" /><Relationship Type="http://schemas.openxmlformats.org/officeDocument/2006/relationships/hyperlink" Target="https://mmd.app/s/MMD-ILU-0211" TargetMode="External" Id="rId109" /><Relationship Type="http://schemas.openxmlformats.org/officeDocument/2006/relationships/hyperlink" Target="https://mmd.app/s/MMD-ILU-0212" TargetMode="External" Id="rId110" /><Relationship Type="http://schemas.openxmlformats.org/officeDocument/2006/relationships/hyperlink" Target="https://mmd.app/s/MMD-ILU-0213" TargetMode="External" Id="rId111" /><Relationship Type="http://schemas.openxmlformats.org/officeDocument/2006/relationships/hyperlink" Target="https://mmd.app/s/MMD-ILU-0214" TargetMode="External" Id="rId112" /><Relationship Type="http://schemas.openxmlformats.org/officeDocument/2006/relationships/hyperlink" Target="https://mmd.app/s/MMD-ILU-0215" TargetMode="External" Id="rId113" /><Relationship Type="http://schemas.openxmlformats.org/officeDocument/2006/relationships/hyperlink" Target="https://mmd.app/s/MMD-ILU-0216" TargetMode="External" Id="rId114" /><Relationship Type="http://schemas.openxmlformats.org/officeDocument/2006/relationships/hyperlink" Target="https://mmd.app/s/MMD-ILU-0217" TargetMode="External" Id="rId115" /><Relationship Type="http://schemas.openxmlformats.org/officeDocument/2006/relationships/hyperlink" Target="https://mmd.app/s/MMD-ILU-0218" TargetMode="External" Id="rId116" /><Relationship Type="http://schemas.openxmlformats.org/officeDocument/2006/relationships/hyperlink" Target="https://mmd.app/s/MMD-ILU-0219" TargetMode="External" Id="rId117" /><Relationship Type="http://schemas.openxmlformats.org/officeDocument/2006/relationships/hyperlink" Target="https://mmd.app/s/MMD-ILU-0220" TargetMode="External" Id="rId118" /><Relationship Type="http://schemas.openxmlformats.org/officeDocument/2006/relationships/hyperlink" Target="https://mmd.app/s/MMD-ILU-0221" TargetMode="External" Id="rId119" /><Relationship Type="http://schemas.openxmlformats.org/officeDocument/2006/relationships/hyperlink" Target="https://mmd.app/s/MMD-ILU-0222" TargetMode="External" Id="rId120" /><Relationship Type="http://schemas.openxmlformats.org/officeDocument/2006/relationships/hyperlink" Target="https://mmd.app/s/MMD-ILU-0223" TargetMode="External" Id="rId121" /><Relationship Type="http://schemas.openxmlformats.org/officeDocument/2006/relationships/hyperlink" Target="https://mmd.app/s/MMD-ILU-0224" TargetMode="External" Id="rId122" /><Relationship Type="http://schemas.openxmlformats.org/officeDocument/2006/relationships/hyperlink" Target="https://mmd.app/s/MMD-ILU-0225" TargetMode="External" Id="rId123" /><Relationship Type="http://schemas.openxmlformats.org/officeDocument/2006/relationships/hyperlink" Target="https://mmd.app/s/MMD-ILU-0226" TargetMode="External" Id="rId124" /><Relationship Type="http://schemas.openxmlformats.org/officeDocument/2006/relationships/hyperlink" Target="https://mmd.app/s/MMD-ILU-0227" TargetMode="External" Id="rId125" /><Relationship Type="http://schemas.openxmlformats.org/officeDocument/2006/relationships/hyperlink" Target="https://mmd.app/s/MMD-ILU-0228" TargetMode="External" Id="rId126" /><Relationship Type="http://schemas.openxmlformats.org/officeDocument/2006/relationships/hyperlink" Target="https://mmd.app/s/MMD-ILU-0229" TargetMode="External" Id="rId127" /><Relationship Type="http://schemas.openxmlformats.org/officeDocument/2006/relationships/hyperlink" Target="https://mmd.app/s/MMD-ILU-0230" TargetMode="External" Id="rId128" /><Relationship Type="http://schemas.openxmlformats.org/officeDocument/2006/relationships/hyperlink" Target="https://mmd.app/s/MMD-ILU-0231" TargetMode="External" Id="rId129" /><Relationship Type="http://schemas.openxmlformats.org/officeDocument/2006/relationships/hyperlink" Target="https://mmd.app/s/MMD-ILU-0232" TargetMode="External" Id="rId130" /><Relationship Type="http://schemas.openxmlformats.org/officeDocument/2006/relationships/hyperlink" Target="https://mmd.app/s/MMD-ILU-0233" TargetMode="External" Id="rId131" /><Relationship Type="http://schemas.openxmlformats.org/officeDocument/2006/relationships/hyperlink" Target="https://mmd.app/s/MMD-ILU-0234" TargetMode="External" Id="rId132" /><Relationship Type="http://schemas.openxmlformats.org/officeDocument/2006/relationships/hyperlink" Target="https://mmd.app/s/MMD-ILU-0235" TargetMode="External" Id="rId133" /><Relationship Type="http://schemas.openxmlformats.org/officeDocument/2006/relationships/hyperlink" Target="https://mmd.app/s/MMD-ILU-0050" TargetMode="External" Id="rId134" /><Relationship Type="http://schemas.openxmlformats.org/officeDocument/2006/relationships/hyperlink" Target="https://mmd.app/s/MMD-ILU-0057" TargetMode="External" Id="rId135" /><Relationship Type="http://schemas.openxmlformats.org/officeDocument/2006/relationships/hyperlink" Target="https://mmd.app/s/MMD-ILU-0058" TargetMode="External" Id="rId136" /><Relationship Type="http://schemas.openxmlformats.org/officeDocument/2006/relationships/hyperlink" Target="https://mmd.app/s/MMD-ILU-0059" TargetMode="External" Id="rId137" /><Relationship Type="http://schemas.openxmlformats.org/officeDocument/2006/relationships/hyperlink" Target="https://mmd.app/s/MMD-ILU-0077" TargetMode="External" Id="rId138" /><Relationship Type="http://schemas.openxmlformats.org/officeDocument/2006/relationships/hyperlink" Target="https://mmd.app/s/MMD-ILU-0078" TargetMode="External" Id="rId139" /><Relationship Type="http://schemas.openxmlformats.org/officeDocument/2006/relationships/hyperlink" Target="https://mmd.app/s/MMD-ILU-0079" TargetMode="External" Id="rId140" /><Relationship Type="http://schemas.openxmlformats.org/officeDocument/2006/relationships/hyperlink" Target="https://mmd.app/s/MMD-ILU-0116" TargetMode="External" Id="rId141" /><Relationship Type="http://schemas.openxmlformats.org/officeDocument/2006/relationships/hyperlink" Target="https://mmd.app/s/MMD-ILU-0117" TargetMode="External" Id="rId142" /><Relationship Type="http://schemas.openxmlformats.org/officeDocument/2006/relationships/hyperlink" Target="https://mmd.app/s/MMD-ILU-0242" TargetMode="External" Id="rId143" /><Relationship Type="http://schemas.openxmlformats.org/officeDocument/2006/relationships/hyperlink" Target="https://mmd.app/s/MMD-ILU-0179" TargetMode="External" Id="rId144" /><Relationship Type="http://schemas.openxmlformats.org/officeDocument/2006/relationships/hyperlink" Target="https://mmd.app/s/MMD-ILU-0180" TargetMode="External" Id="rId145" /><Relationship Type="http://schemas.openxmlformats.org/officeDocument/2006/relationships/hyperlink" Target="https://mmd.app/s/MMD-ILU-0184" TargetMode="External" Id="rId146" /><Relationship Type="http://schemas.openxmlformats.org/officeDocument/2006/relationships/hyperlink" Target="https://mmd.app/s/MMD-ILU-0236" TargetMode="External" Id="rId147" /><Relationship Type="http://schemas.openxmlformats.org/officeDocument/2006/relationships/hyperlink" Target="https://mmd.app/s/MMD-ILU-0237" TargetMode="External" Id="rId148" /><Relationship Type="http://schemas.openxmlformats.org/officeDocument/2006/relationships/hyperlink" Target="https://mmd.app/s/MMD-ILU-0174" TargetMode="External" Id="rId149" /><Relationship Type="http://schemas.openxmlformats.org/officeDocument/2006/relationships/hyperlink" Target="https://mmd.app/s/MMD-ILU-0175" TargetMode="External" Id="rId150" /><Relationship Type="http://schemas.openxmlformats.org/officeDocument/2006/relationships/hyperlink" Target="https://mmd.app/s/MMD-ILU-0176" TargetMode="External" Id="rId151" /><Relationship Type="http://schemas.openxmlformats.org/officeDocument/2006/relationships/hyperlink" Target="https://mmd.app/s/MMD-ILU-0177" TargetMode="External" Id="rId152" /><Relationship Type="http://schemas.openxmlformats.org/officeDocument/2006/relationships/hyperlink" Target="https://mmd.app/s/MMD-ILU-0178" TargetMode="External" Id="rId153" /><Relationship Type="http://schemas.openxmlformats.org/officeDocument/2006/relationships/hyperlink" Target="https://mmd.app/s/MMD-ILU-0243" TargetMode="External" Id="rId154" /><Relationship Type="http://schemas.openxmlformats.org/officeDocument/2006/relationships/hyperlink" Target="https://mmd.app/s/MMD-ILU-0244" TargetMode="External" Id="rId155" /><Relationship Type="http://schemas.openxmlformats.org/officeDocument/2006/relationships/hyperlink" Target="https://mmd.app/s/MMD-ILU-0245" TargetMode="External" Id="rId156" /><Relationship Type="http://schemas.openxmlformats.org/officeDocument/2006/relationships/hyperlink" Target="https://mmd.app/s/MMD-ILU-0246" TargetMode="External" Id="rId157" /><Relationship Type="http://schemas.openxmlformats.org/officeDocument/2006/relationships/hyperlink" Target="https://mmd.app/s/MMD-ILU-0247" TargetMode="External" Id="rId158" /><Relationship Type="http://schemas.openxmlformats.org/officeDocument/2006/relationships/hyperlink" Target="https://mmd.app/s/MMD-ILU-0248" TargetMode="External" Id="rId159" /><Relationship Type="http://schemas.openxmlformats.org/officeDocument/2006/relationships/hyperlink" Target="https://mmd.app/s/MMD-ILU-0249" TargetMode="External" Id="rId160" /><Relationship Type="http://schemas.openxmlformats.org/officeDocument/2006/relationships/hyperlink" Target="https://mmd.app/s/MMD-ILU-0250" TargetMode="External" Id="rId161" /><Relationship Type="http://schemas.openxmlformats.org/officeDocument/2006/relationships/hyperlink" Target="https://mmd.app/s/MMD-ILU-0251" TargetMode="External" Id="rId162" /><Relationship Type="http://schemas.openxmlformats.org/officeDocument/2006/relationships/hyperlink" Target="https://mmd.app/s/MMD-ILU-0252" TargetMode="External" Id="rId163" /><Relationship Type="http://schemas.openxmlformats.org/officeDocument/2006/relationships/hyperlink" Target="https://mmd.app/s/MMD-ILU-0253" TargetMode="External" Id="rId164" /><Relationship Type="http://schemas.openxmlformats.org/officeDocument/2006/relationships/hyperlink" Target="https://mmd.app/s/MMD-ILU-0254" TargetMode="External" Id="rId165" /><Relationship Type="http://schemas.openxmlformats.org/officeDocument/2006/relationships/hyperlink" Target="https://mmd.app/s/MMD-ILU-0255" TargetMode="External" Id="rId166" /><Relationship Type="http://schemas.openxmlformats.org/officeDocument/2006/relationships/hyperlink" Target="https://mmd.app/s/MMD-ILU-0256" TargetMode="External" Id="rId167" /><Relationship Type="http://schemas.openxmlformats.org/officeDocument/2006/relationships/hyperlink" Target="https://mmd.app/s/MMD-ILU-0257" TargetMode="External" Id="rId168" /><Relationship Type="http://schemas.openxmlformats.org/officeDocument/2006/relationships/hyperlink" Target="https://mmd.app/s/MMD-ILU-0258" TargetMode="External" Id="rId169" /><Relationship Type="http://schemas.openxmlformats.org/officeDocument/2006/relationships/hyperlink" Target="https://mmd.app/s/MMD-ILU-0259" TargetMode="External" Id="rId170" /><Relationship Type="http://schemas.openxmlformats.org/officeDocument/2006/relationships/hyperlink" Target="https://mmd.app/s/MMD-ILU-0260" TargetMode="External" Id="rId171" /><Relationship Type="http://schemas.openxmlformats.org/officeDocument/2006/relationships/hyperlink" Target="https://mmd.app/s/MMD-ILU-0261" TargetMode="External" Id="rId172" /><Relationship Type="http://schemas.openxmlformats.org/officeDocument/2006/relationships/hyperlink" Target="https://mmd.app/s/MMD-ILU-0262" TargetMode="External" Id="rId173" /><Relationship Type="http://schemas.openxmlformats.org/officeDocument/2006/relationships/hyperlink" Target="https://mmd.app/s/MMD-ILU-0263" TargetMode="External" Id="rId174" /><Relationship Type="http://schemas.openxmlformats.org/officeDocument/2006/relationships/hyperlink" Target="https://mmd.app/s/MMD-ILU-0264" TargetMode="External" Id="rId175" /><Relationship Type="http://schemas.openxmlformats.org/officeDocument/2006/relationships/hyperlink" Target="https://mmd.app/s/MMD-ILU-0265" TargetMode="External" Id="rId176" /><Relationship Type="http://schemas.openxmlformats.org/officeDocument/2006/relationships/hyperlink" Target="https://mmd.app/s/MMD-ILU-0266" TargetMode="External" Id="rId177" /><Relationship Type="http://schemas.openxmlformats.org/officeDocument/2006/relationships/hyperlink" Target="https://mmd.app/s/MMD-ILU-0267" TargetMode="External" Id="rId178" /><Relationship Type="http://schemas.openxmlformats.org/officeDocument/2006/relationships/hyperlink" Target="https://mmd.app/s/MMD-ILU-0001" TargetMode="External" Id="rId179" /><Relationship Type="http://schemas.openxmlformats.org/officeDocument/2006/relationships/hyperlink" Target="https://mmd.app/s/MMD-ILU-0002" TargetMode="External" Id="rId180" /><Relationship Type="http://schemas.openxmlformats.org/officeDocument/2006/relationships/hyperlink" Target="https://mmd.app/s/MMD-ILU-0003" TargetMode="External" Id="rId181" /><Relationship Type="http://schemas.openxmlformats.org/officeDocument/2006/relationships/hyperlink" Target="https://mmd.app/s/MMD-ILU-0004" TargetMode="External" Id="rId182" /><Relationship Type="http://schemas.openxmlformats.org/officeDocument/2006/relationships/hyperlink" Target="https://mmd.app/s/MMD-ILU-0005" TargetMode="External" Id="rId183" /><Relationship Type="http://schemas.openxmlformats.org/officeDocument/2006/relationships/hyperlink" Target="https://mmd.app/s/MMD-ILU-0006" TargetMode="External" Id="rId184" /><Relationship Type="http://schemas.openxmlformats.org/officeDocument/2006/relationships/hyperlink" Target="https://mmd.app/s/MMD-ILU-0007" TargetMode="External" Id="rId185" /><Relationship Type="http://schemas.openxmlformats.org/officeDocument/2006/relationships/hyperlink" Target="https://mmd.app/s/MMD-ILU-0008" TargetMode="External" Id="rId186" /><Relationship Type="http://schemas.openxmlformats.org/officeDocument/2006/relationships/hyperlink" Target="https://mmd.app/s/MMD-ILU-0009" TargetMode="External" Id="rId187" /><Relationship Type="http://schemas.openxmlformats.org/officeDocument/2006/relationships/hyperlink" Target="https://mmd.app/s/MMD-ILU-0010" TargetMode="External" Id="rId188" /><Relationship Type="http://schemas.openxmlformats.org/officeDocument/2006/relationships/hyperlink" Target="https://mmd.app/s/MMD-ILU-0011" TargetMode="External" Id="rId189" /><Relationship Type="http://schemas.openxmlformats.org/officeDocument/2006/relationships/hyperlink" Target="https://mmd.app/s/MMD-ILU-0012" TargetMode="External" Id="rId190" /><Relationship Type="http://schemas.openxmlformats.org/officeDocument/2006/relationships/hyperlink" Target="https://mmd.app/s/MMD-ILU-0014" TargetMode="External" Id="rId191" /><Relationship Type="http://schemas.openxmlformats.org/officeDocument/2006/relationships/hyperlink" Target="https://mmd.app/s/MMD-ILU-0015" TargetMode="External" Id="rId192" /><Relationship Type="http://schemas.openxmlformats.org/officeDocument/2006/relationships/hyperlink" Target="https://mmd.app/s/MMD-ILU-0016" TargetMode="External" Id="rId193" /><Relationship Type="http://schemas.openxmlformats.org/officeDocument/2006/relationships/hyperlink" Target="https://mmd.app/s/MMD-ILU-0017" TargetMode="External" Id="rId194" /><Relationship Type="http://schemas.openxmlformats.org/officeDocument/2006/relationships/hyperlink" Target="https://mmd.app/s/MMD-ILU-0018" TargetMode="External" Id="rId195" /><Relationship Type="http://schemas.openxmlformats.org/officeDocument/2006/relationships/hyperlink" Target="https://mmd.app/s/MMD-ILU-0023" TargetMode="External" Id="rId196" /><Relationship Type="http://schemas.openxmlformats.org/officeDocument/2006/relationships/hyperlink" Target="https://mmd.app/s/MMD-ILU-0032" TargetMode="External" Id="rId197" /><Relationship Type="http://schemas.openxmlformats.org/officeDocument/2006/relationships/hyperlink" Target="https://mmd.app/s/MMD-ILU-0034" TargetMode="External" Id="rId198" /><Relationship Type="http://schemas.openxmlformats.org/officeDocument/2006/relationships/hyperlink" Target="https://mmd.app/s/MMD-ILU-0046" TargetMode="External" Id="rId199" /><Relationship Type="http://schemas.openxmlformats.org/officeDocument/2006/relationships/hyperlink" Target="https://mmd.app/s/MMD-ILU-0047" TargetMode="External" Id="rId200" /><Relationship Type="http://schemas.openxmlformats.org/officeDocument/2006/relationships/hyperlink" Target="https://mmd.app/s/MMD-ILU-0048" TargetMode="External" Id="rId201" /><Relationship Type="http://schemas.openxmlformats.org/officeDocument/2006/relationships/hyperlink" Target="https://mmd.app/s/MMD-ILU-0049" TargetMode="External" Id="rId202" /><Relationship Type="http://schemas.openxmlformats.org/officeDocument/2006/relationships/hyperlink" Target="https://mmd.app/s/MMD-ILU-0051" TargetMode="External" Id="rId203" /><Relationship Type="http://schemas.openxmlformats.org/officeDocument/2006/relationships/hyperlink" Target="https://mmd.app/s/MMD-ILU-0052" TargetMode="External" Id="rId204" /><Relationship Type="http://schemas.openxmlformats.org/officeDocument/2006/relationships/hyperlink" Target="https://mmd.app/s/MMD-ILU-0053" TargetMode="External" Id="rId205" /><Relationship Type="http://schemas.openxmlformats.org/officeDocument/2006/relationships/hyperlink" Target="https://mmd.app/s/MMD-ILU-0054" TargetMode="External" Id="rId206" /><Relationship Type="http://schemas.openxmlformats.org/officeDocument/2006/relationships/hyperlink" Target="https://mmd.app/s/MMD-ILU-0055" TargetMode="External" Id="rId207" /><Relationship Type="http://schemas.openxmlformats.org/officeDocument/2006/relationships/hyperlink" Target="https://mmd.app/s/MMD-ILU-0056" TargetMode="External" Id="rId208" /><Relationship Type="http://schemas.openxmlformats.org/officeDocument/2006/relationships/hyperlink" Target="https://mmd.app/s/MMD-ILU-0067" TargetMode="External" Id="rId209" /><Relationship Type="http://schemas.openxmlformats.org/officeDocument/2006/relationships/hyperlink" Target="https://mmd.app/s/MMD-ILU-0068" TargetMode="External" Id="rId210" /><Relationship Type="http://schemas.openxmlformats.org/officeDocument/2006/relationships/hyperlink" Target="https://mmd.app/s/MMD-ILU-0069" TargetMode="External" Id="rId211" /><Relationship Type="http://schemas.openxmlformats.org/officeDocument/2006/relationships/hyperlink" Target="https://mmd.app/s/MMD-ILU-0070" TargetMode="External" Id="rId212" /><Relationship Type="http://schemas.openxmlformats.org/officeDocument/2006/relationships/hyperlink" Target="https://mmd.app/s/MMD-ILU-0071" TargetMode="External" Id="rId213" /><Relationship Type="http://schemas.openxmlformats.org/officeDocument/2006/relationships/hyperlink" Target="https://mmd.app/s/MMD-ILU-0072" TargetMode="External" Id="rId214" /><Relationship Type="http://schemas.openxmlformats.org/officeDocument/2006/relationships/hyperlink" Target="https://mmd.app/s/MMD-ILU-0073" TargetMode="External" Id="rId215" /><Relationship Type="http://schemas.openxmlformats.org/officeDocument/2006/relationships/hyperlink" Target="https://mmd.app/s/MMD-ILU-0074" TargetMode="External" Id="rId216" /><Relationship Type="http://schemas.openxmlformats.org/officeDocument/2006/relationships/hyperlink" Target="https://mmd.app/s/MMD-ILU-0075" TargetMode="External" Id="rId217" /><Relationship Type="http://schemas.openxmlformats.org/officeDocument/2006/relationships/hyperlink" Target="https://mmd.app/s/MMD-ILU-0076" TargetMode="External" Id="rId218" /><Relationship Type="http://schemas.openxmlformats.org/officeDocument/2006/relationships/hyperlink" Target="https://mmd.app/s/MMD-ILU-0081" TargetMode="External" Id="rId219" /><Relationship Type="http://schemas.openxmlformats.org/officeDocument/2006/relationships/hyperlink" Target="https://mmd.app/s/MMD-ILU-0084" TargetMode="External" Id="rId220" /><Relationship Type="http://schemas.openxmlformats.org/officeDocument/2006/relationships/hyperlink" Target="https://mmd.app/s/MMD-ILU-0085" TargetMode="External" Id="rId221" /><Relationship Type="http://schemas.openxmlformats.org/officeDocument/2006/relationships/hyperlink" Target="https://mmd.app/s/MMD-ILU-0086" TargetMode="External" Id="rId222" /><Relationship Type="http://schemas.openxmlformats.org/officeDocument/2006/relationships/hyperlink" Target="https://mmd.app/s/MMD-ILU-0087" TargetMode="External" Id="rId223" /><Relationship Type="http://schemas.openxmlformats.org/officeDocument/2006/relationships/hyperlink" Target="https://mmd.app/s/MMD-ILU-0088" TargetMode="External" Id="rId224" /><Relationship Type="http://schemas.openxmlformats.org/officeDocument/2006/relationships/hyperlink" Target="https://mmd.app/s/MMD-ILU-0089" TargetMode="External" Id="rId225" /><Relationship Type="http://schemas.openxmlformats.org/officeDocument/2006/relationships/hyperlink" Target="https://mmd.app/s/MMD-ILU-0090" TargetMode="External" Id="rId226" /><Relationship Type="http://schemas.openxmlformats.org/officeDocument/2006/relationships/hyperlink" Target="https://mmd.app/s/MMD-ILU-0091" TargetMode="External" Id="rId227" /><Relationship Type="http://schemas.openxmlformats.org/officeDocument/2006/relationships/hyperlink" Target="https://mmd.app/s/MMD-ILU-0092" TargetMode="External" Id="rId228" /><Relationship Type="http://schemas.openxmlformats.org/officeDocument/2006/relationships/hyperlink" Target="https://mmd.app/s/MMD-ILU-0093" TargetMode="External" Id="rId229" /><Relationship Type="http://schemas.openxmlformats.org/officeDocument/2006/relationships/hyperlink" Target="https://mmd.app/s/MMD-ILU-0094" TargetMode="External" Id="rId230" /><Relationship Type="http://schemas.openxmlformats.org/officeDocument/2006/relationships/hyperlink" Target="https://mmd.app/s/MMD-ILU-0095" TargetMode="External" Id="rId231" /><Relationship Type="http://schemas.openxmlformats.org/officeDocument/2006/relationships/hyperlink" Target="https://mmd.app/s/MMD-ILU-0096" TargetMode="External" Id="rId232" /><Relationship Type="http://schemas.openxmlformats.org/officeDocument/2006/relationships/hyperlink" Target="https://mmd.app/s/MMD-ILU-0097" TargetMode="External" Id="rId233" /><Relationship Type="http://schemas.openxmlformats.org/officeDocument/2006/relationships/hyperlink" Target="https://mmd.app/s/MMD-ILU-0098" TargetMode="External" Id="rId234" /><Relationship Type="http://schemas.openxmlformats.org/officeDocument/2006/relationships/hyperlink" Target="https://mmd.app/s/MMD-ILU-0099" TargetMode="External" Id="rId235" /><Relationship Type="http://schemas.openxmlformats.org/officeDocument/2006/relationships/hyperlink" Target="https://mmd.app/s/MMD-ILU-0100" TargetMode="External" Id="rId236" /><Relationship Type="http://schemas.openxmlformats.org/officeDocument/2006/relationships/hyperlink" Target="https://mmd.app/s/MMD-ILU-0101" TargetMode="External" Id="rId237" /><Relationship Type="http://schemas.openxmlformats.org/officeDocument/2006/relationships/hyperlink" Target="https://mmd.app/s/MMD-ILU-0102" TargetMode="External" Id="rId238" /><Relationship Type="http://schemas.openxmlformats.org/officeDocument/2006/relationships/hyperlink" Target="https://mmd.app/s/MMD-ILU-0103" TargetMode="External" Id="rId239" /><Relationship Type="http://schemas.openxmlformats.org/officeDocument/2006/relationships/hyperlink" Target="https://mmd.app/s/MMD-ILU-0104" TargetMode="External" Id="rId240" /><Relationship Type="http://schemas.openxmlformats.org/officeDocument/2006/relationships/hyperlink" Target="https://mmd.app/s/MMD-ILU-0105" TargetMode="External" Id="rId241" /><Relationship Type="http://schemas.openxmlformats.org/officeDocument/2006/relationships/hyperlink" Target="https://mmd.app/s/MMD-ILU-0106" TargetMode="External" Id="rId242" /><Relationship Type="http://schemas.openxmlformats.org/officeDocument/2006/relationships/hyperlink" Target="https://mmd.app/s/MMD-ILU-0107" TargetMode="External" Id="rId243" /><Relationship Type="http://schemas.openxmlformats.org/officeDocument/2006/relationships/hyperlink" Target="https://mmd.app/s/MMD-ILU-0108" TargetMode="External" Id="rId244" /><Relationship Type="http://schemas.openxmlformats.org/officeDocument/2006/relationships/hyperlink" Target="https://mmd.app/s/MMD-ILU-0109" TargetMode="External" Id="rId245" /><Relationship Type="http://schemas.openxmlformats.org/officeDocument/2006/relationships/hyperlink" Target="https://mmd.app/s/MMD-ILU-0110" TargetMode="External" Id="rId246" /><Relationship Type="http://schemas.openxmlformats.org/officeDocument/2006/relationships/hyperlink" Target="https://mmd.app/s/MMD-ILU-0111" TargetMode="External" Id="rId247" /><Relationship Type="http://schemas.openxmlformats.org/officeDocument/2006/relationships/hyperlink" Target="https://mmd.app/s/MMD-ILU-0112" TargetMode="External" Id="rId248" /><Relationship Type="http://schemas.openxmlformats.org/officeDocument/2006/relationships/hyperlink" Target="https://mmd.app/s/MMD-ILU-0113" TargetMode="External" Id="rId249" /><Relationship Type="http://schemas.openxmlformats.org/officeDocument/2006/relationships/hyperlink" Target="https://mmd.app/s/MMD-ILU-0114" TargetMode="External" Id="rId250" /><Relationship Type="http://schemas.openxmlformats.org/officeDocument/2006/relationships/hyperlink" Target="https://mmd.app/s/MMD-ILU-0115" TargetMode="External" Id="rId251" /><Relationship Type="http://schemas.openxmlformats.org/officeDocument/2006/relationships/hyperlink" Target="https://mmd.app/s/MMD-ILU-0238" TargetMode="External" Id="rId252" /><Relationship Type="http://schemas.openxmlformats.org/officeDocument/2006/relationships/hyperlink" Target="https://mmd.app/s/MMD-ILU-0239" TargetMode="External" Id="rId253" /><Relationship Type="http://schemas.openxmlformats.org/officeDocument/2006/relationships/hyperlink" Target="https://mmd.app/s/MMD-ILU-0240" TargetMode="External" Id="rId254" /><Relationship Type="http://schemas.openxmlformats.org/officeDocument/2006/relationships/hyperlink" Target="https://mmd.app/s/MMD-ILU-0173" TargetMode="External" Id="rId255" /><Relationship Type="http://schemas.openxmlformats.org/officeDocument/2006/relationships/hyperlink" Target="https://mmd.app/s/MMD-ILU-0268" TargetMode="External" Id="rId256" /><Relationship Type="http://schemas.openxmlformats.org/officeDocument/2006/relationships/hyperlink" Target="https://mmd.app/s/MMD-ILU-0269" TargetMode="External" Id="rId257" /><Relationship Type="http://schemas.openxmlformats.org/officeDocument/2006/relationships/hyperlink" Target="https://mmd.app/s/MMD-ILU-0270" TargetMode="External" Id="rId258" /><Relationship Type="http://schemas.openxmlformats.org/officeDocument/2006/relationships/hyperlink" Target="https://mmd.app/s/MMD-ILU-0063" TargetMode="External" Id="rId259" /><Relationship Type="http://schemas.openxmlformats.org/officeDocument/2006/relationships/hyperlink" Target="https://mmd.app/s/MMD-ILU-0080" TargetMode="External" Id="rId260" /><Relationship Type="http://schemas.openxmlformats.org/officeDocument/2006/relationships/hyperlink" Target="https://mmd.app/s/MMD-ILU-0181" TargetMode="External" Id="rId261" /><Relationship Type="http://schemas.openxmlformats.org/officeDocument/2006/relationships/hyperlink" Target="https://mmd.app/s/MMD-ILU-0182" TargetMode="External" Id="rId262" /><Relationship Type="http://schemas.openxmlformats.org/officeDocument/2006/relationships/hyperlink" Target="https://mmd.app/s/MMD-ILU-0183" TargetMode="External" Id="rId263" /><Relationship Type="http://schemas.openxmlformats.org/officeDocument/2006/relationships/hyperlink" Target="https://mmd.app/s/MMD-ILU-0038" TargetMode="External" Id="rId264" /><Relationship Type="http://schemas.openxmlformats.org/officeDocument/2006/relationships/hyperlink" Target="https://mmd.app/s/MMD-ILU-0041" TargetMode="External" Id="rId265" /><Relationship Type="http://schemas.openxmlformats.org/officeDocument/2006/relationships/hyperlink" Target="https://mmd.app/s/MMD-ILU-0042" TargetMode="External" Id="rId266" /><Relationship Type="http://schemas.openxmlformats.org/officeDocument/2006/relationships/hyperlink" Target="https://mmd.app/s/MMD-ILU-0043" TargetMode="External" Id="rId267" /><Relationship Type="http://schemas.openxmlformats.org/officeDocument/2006/relationships/hyperlink" Target="https://mmd.app/s/MMD-ILU-0044" TargetMode="External" Id="rId268" /><Relationship Type="http://schemas.openxmlformats.org/officeDocument/2006/relationships/hyperlink" Target="https://mmd.app/s/MMD-ILU-0045" TargetMode="External" Id="rId269" /><Relationship Type="http://schemas.openxmlformats.org/officeDocument/2006/relationships/hyperlink" Target="https://mmd.app/s/MMD-ILU-0241" TargetMode="External" Id="rId27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mmd.app/s/MMD-AUD-0001" TargetMode="External" Id="rId1" /><Relationship Type="http://schemas.openxmlformats.org/officeDocument/2006/relationships/hyperlink" Target="https://mmd.app/s/MMD-AUD-0002" TargetMode="External" Id="rId2" /><Relationship Type="http://schemas.openxmlformats.org/officeDocument/2006/relationships/hyperlink" Target="https://mmd.app/s/MMD-AUD-0003" TargetMode="External" Id="rId3" /><Relationship Type="http://schemas.openxmlformats.org/officeDocument/2006/relationships/hyperlink" Target="https://mmd.app/s/MMD-AUD-0005" TargetMode="External" Id="rId4" /><Relationship Type="http://schemas.openxmlformats.org/officeDocument/2006/relationships/hyperlink" Target="https://mmd.app/s/MMD-AUD-0006" TargetMode="External" Id="rId5" /><Relationship Type="http://schemas.openxmlformats.org/officeDocument/2006/relationships/hyperlink" Target="https://mmd.app/s/MMD-AUD-0007" TargetMode="External" Id="rId6" /><Relationship Type="http://schemas.openxmlformats.org/officeDocument/2006/relationships/hyperlink" Target="https://mmd.app/s/MMD-AUD-0008" TargetMode="External" Id="rId7" /><Relationship Type="http://schemas.openxmlformats.org/officeDocument/2006/relationships/hyperlink" Target="https://mmd.app/s/MMD-AUD-0009" TargetMode="External" Id="rId8" /><Relationship Type="http://schemas.openxmlformats.org/officeDocument/2006/relationships/hyperlink" Target="https://mmd.app/s/MMD-AUD-0010" TargetMode="External" Id="rId9" /><Relationship Type="http://schemas.openxmlformats.org/officeDocument/2006/relationships/hyperlink" Target="https://mmd.app/s/MMD-AUD-0011" TargetMode="External" Id="rId10" /><Relationship Type="http://schemas.openxmlformats.org/officeDocument/2006/relationships/hyperlink" Target="https://mmd.app/s/MMD-AUD-0012" TargetMode="External" Id="rId11" /><Relationship Type="http://schemas.openxmlformats.org/officeDocument/2006/relationships/hyperlink" Target="https://mmd.app/s/MMD-AUD-0013" TargetMode="External" Id="rId12" /><Relationship Type="http://schemas.openxmlformats.org/officeDocument/2006/relationships/hyperlink" Target="https://mmd.app/s/MMD-AUD-0014" TargetMode="External" Id="rId13" /><Relationship Type="http://schemas.openxmlformats.org/officeDocument/2006/relationships/hyperlink" Target="https://mmd.app/s/MMD-AUD-0015" TargetMode="External" Id="rId14" /><Relationship Type="http://schemas.openxmlformats.org/officeDocument/2006/relationships/hyperlink" Target="https://mmd.app/s/MMD-AUD-0016" TargetMode="External" Id="rId15" /><Relationship Type="http://schemas.openxmlformats.org/officeDocument/2006/relationships/hyperlink" Target="https://mmd.app/s/MMD-AUD-0018" TargetMode="External" Id="rId16" /><Relationship Type="http://schemas.openxmlformats.org/officeDocument/2006/relationships/hyperlink" Target="https://mmd.app/s/MMD-AUD-0019" TargetMode="External" Id="rId17" /><Relationship Type="http://schemas.openxmlformats.org/officeDocument/2006/relationships/hyperlink" Target="https://mmd.app/s/MMD-AUD-0017" TargetMode="External" Id="rId18" /><Relationship Type="http://schemas.openxmlformats.org/officeDocument/2006/relationships/hyperlink" Target="https://mmd.app/s/MMD-AUD-0020" TargetMode="External" Id="rId19" /><Relationship Type="http://schemas.openxmlformats.org/officeDocument/2006/relationships/hyperlink" Target="https://mmd.app/s/MMD-AUD-0021" TargetMode="External" Id="rId20" /><Relationship Type="http://schemas.openxmlformats.org/officeDocument/2006/relationships/hyperlink" Target="https://mmd.app/s/MMD-AUD-0022" TargetMode="External" Id="rId21" /><Relationship Type="http://schemas.openxmlformats.org/officeDocument/2006/relationships/hyperlink" Target="https://mmd.app/s/MMD-AUD-0023" TargetMode="External" Id="rId22" /><Relationship Type="http://schemas.openxmlformats.org/officeDocument/2006/relationships/hyperlink" Target="https://mmd.app/s/MMD-AUD-0024" TargetMode="External" Id="rId23" /><Relationship Type="http://schemas.openxmlformats.org/officeDocument/2006/relationships/hyperlink" Target="https://mmd.app/s/MMD-AUD-0025" TargetMode="External" Id="rId24" /><Relationship Type="http://schemas.openxmlformats.org/officeDocument/2006/relationships/hyperlink" Target="https://mmd.app/s/MMD-AUD-0026" TargetMode="External" Id="rId25" /><Relationship Type="http://schemas.openxmlformats.org/officeDocument/2006/relationships/hyperlink" Target="https://mmd.app/s/MMD-AUD-0027" TargetMode="External" Id="rId26" /><Relationship Type="http://schemas.openxmlformats.org/officeDocument/2006/relationships/hyperlink" Target="https://mmd.app/s/MMD-AUD-0028" TargetMode="External" Id="rId27" /><Relationship Type="http://schemas.openxmlformats.org/officeDocument/2006/relationships/hyperlink" Target="https://mmd.app/s/MMD-AUD-0029" TargetMode="External" Id="rId28" /><Relationship Type="http://schemas.openxmlformats.org/officeDocument/2006/relationships/hyperlink" Target="https://mmd.app/s/MMD-AUD-0030" TargetMode="External" Id="rId29" /><Relationship Type="http://schemas.openxmlformats.org/officeDocument/2006/relationships/hyperlink" Target="https://mmd.app/s/MMD-AUD-0031" TargetMode="External" Id="rId30" /><Relationship Type="http://schemas.openxmlformats.org/officeDocument/2006/relationships/hyperlink" Target="https://mmd.app/s/MMD-AUD-0032" TargetMode="External" Id="rId31" /><Relationship Type="http://schemas.openxmlformats.org/officeDocument/2006/relationships/hyperlink" Target="https://mmd.app/s/MMD-AUD-0033" TargetMode="External" Id="rId32" /><Relationship Type="http://schemas.openxmlformats.org/officeDocument/2006/relationships/hyperlink" Target="https://mmd.app/s/MMD-AUD-0036" TargetMode="External" Id="rId33" /><Relationship Type="http://schemas.openxmlformats.org/officeDocument/2006/relationships/hyperlink" Target="https://mmd.app/s/MMD-AUD-0038" TargetMode="External" Id="rId34" /><Relationship Type="http://schemas.openxmlformats.org/officeDocument/2006/relationships/hyperlink" Target="https://mmd.app/s/MMD-AUD-0039" TargetMode="External" Id="rId35" /><Relationship Type="http://schemas.openxmlformats.org/officeDocument/2006/relationships/hyperlink" Target="https://mmd.app/s/MMD-AUD-0040" TargetMode="External" Id="rId36" /><Relationship Type="http://schemas.openxmlformats.org/officeDocument/2006/relationships/hyperlink" Target="https://mmd.app/s/MMD-AUD-0133" TargetMode="External" Id="rId37" /><Relationship Type="http://schemas.openxmlformats.org/officeDocument/2006/relationships/hyperlink" Target="https://mmd.app/s/MMD-AUD-0041" TargetMode="External" Id="rId38" /><Relationship Type="http://schemas.openxmlformats.org/officeDocument/2006/relationships/hyperlink" Target="https://mmd.app/s/MMD-AUD-0042" TargetMode="External" Id="rId39" /><Relationship Type="http://schemas.openxmlformats.org/officeDocument/2006/relationships/hyperlink" Target="https://mmd.app/s/MMD-AUD-0043" TargetMode="External" Id="rId40" /><Relationship Type="http://schemas.openxmlformats.org/officeDocument/2006/relationships/hyperlink" Target="https://mmd.app/s/MMD-AUD-0044" TargetMode="External" Id="rId41" /><Relationship Type="http://schemas.openxmlformats.org/officeDocument/2006/relationships/hyperlink" Target="https://mmd.app/s/MMD-AUD-0045" TargetMode="External" Id="rId42" /><Relationship Type="http://schemas.openxmlformats.org/officeDocument/2006/relationships/hyperlink" Target="https://mmd.app/s/MMD-AUD-0046" TargetMode="External" Id="rId43" /><Relationship Type="http://schemas.openxmlformats.org/officeDocument/2006/relationships/hyperlink" Target="https://mmd.app/s/MMD-AUD-0047" TargetMode="External" Id="rId44" /><Relationship Type="http://schemas.openxmlformats.org/officeDocument/2006/relationships/hyperlink" Target="https://mmd.app/s/MMD-AUD-0049" TargetMode="External" Id="rId45" /><Relationship Type="http://schemas.openxmlformats.org/officeDocument/2006/relationships/hyperlink" Target="https://mmd.app/s/MMD-AUD-0050" TargetMode="External" Id="rId46" /><Relationship Type="http://schemas.openxmlformats.org/officeDocument/2006/relationships/hyperlink" Target="https://mmd.app/s/MMD-AUD-0051" TargetMode="External" Id="rId47" /><Relationship Type="http://schemas.openxmlformats.org/officeDocument/2006/relationships/hyperlink" Target="https://mmd.app/s/MMD-AUD-0052" TargetMode="External" Id="rId48" /><Relationship Type="http://schemas.openxmlformats.org/officeDocument/2006/relationships/hyperlink" Target="https://mmd.app/s/MMD-AUD-0053" TargetMode="External" Id="rId49" /><Relationship Type="http://schemas.openxmlformats.org/officeDocument/2006/relationships/hyperlink" Target="https://mmd.app/s/MMD-AUD-0054" TargetMode="External" Id="rId50" /><Relationship Type="http://schemas.openxmlformats.org/officeDocument/2006/relationships/hyperlink" Target="https://mmd.app/s/MMD-AUD-0055" TargetMode="External" Id="rId51" /><Relationship Type="http://schemas.openxmlformats.org/officeDocument/2006/relationships/hyperlink" Target="https://mmd.app/s/MMD-AUD-0056" TargetMode="External" Id="rId52" /><Relationship Type="http://schemas.openxmlformats.org/officeDocument/2006/relationships/hyperlink" Target="https://mmd.app/s/MMD-AUD-0057" TargetMode="External" Id="rId53" /><Relationship Type="http://schemas.openxmlformats.org/officeDocument/2006/relationships/hyperlink" Target="https://mmd.app/s/MMD-AUD-0058" TargetMode="External" Id="rId54" /><Relationship Type="http://schemas.openxmlformats.org/officeDocument/2006/relationships/hyperlink" Target="https://mmd.app/s/MMD-AUD-0059" TargetMode="External" Id="rId55" /><Relationship Type="http://schemas.openxmlformats.org/officeDocument/2006/relationships/hyperlink" Target="https://mmd.app/s/MMD-AUD-0060" TargetMode="External" Id="rId56" /><Relationship Type="http://schemas.openxmlformats.org/officeDocument/2006/relationships/hyperlink" Target="https://mmd.app/s/MMD-AUD-0061" TargetMode="External" Id="rId57" /><Relationship Type="http://schemas.openxmlformats.org/officeDocument/2006/relationships/hyperlink" Target="https://mmd.app/s/MMD-AUD-0062" TargetMode="External" Id="rId58" /><Relationship Type="http://schemas.openxmlformats.org/officeDocument/2006/relationships/hyperlink" Target="https://mmd.app/s/MMD-AUD-0063" TargetMode="External" Id="rId59" /><Relationship Type="http://schemas.openxmlformats.org/officeDocument/2006/relationships/hyperlink" Target="https://mmd.app/s/MMD-AUD-0064" TargetMode="External" Id="rId60" /><Relationship Type="http://schemas.openxmlformats.org/officeDocument/2006/relationships/hyperlink" Target="https://mmd.app/s/MMD-AUD-0065" TargetMode="External" Id="rId61" /><Relationship Type="http://schemas.openxmlformats.org/officeDocument/2006/relationships/hyperlink" Target="https://mmd.app/s/MMD-AUD-0066" TargetMode="External" Id="rId62" /><Relationship Type="http://schemas.openxmlformats.org/officeDocument/2006/relationships/hyperlink" Target="https://mmd.app/s/MMD-AUD-0067" TargetMode="External" Id="rId63" /><Relationship Type="http://schemas.openxmlformats.org/officeDocument/2006/relationships/hyperlink" Target="https://mmd.app/s/MMD-AUD-0068" TargetMode="External" Id="rId64" /><Relationship Type="http://schemas.openxmlformats.org/officeDocument/2006/relationships/hyperlink" Target="https://mmd.app/s/MMD-AUD-0069" TargetMode="External" Id="rId65" /><Relationship Type="http://schemas.openxmlformats.org/officeDocument/2006/relationships/hyperlink" Target="https://mmd.app/s/MMD-AUD-0070" TargetMode="External" Id="rId66" /><Relationship Type="http://schemas.openxmlformats.org/officeDocument/2006/relationships/hyperlink" Target="https://mmd.app/s/MMD-AUD-0071" TargetMode="External" Id="rId67" /><Relationship Type="http://schemas.openxmlformats.org/officeDocument/2006/relationships/hyperlink" Target="https://mmd.app/s/MMD-AUD-0072" TargetMode="External" Id="rId68" /><Relationship Type="http://schemas.openxmlformats.org/officeDocument/2006/relationships/hyperlink" Target="https://mmd.app/s/MMD-AUD-0073" TargetMode="External" Id="rId69" /><Relationship Type="http://schemas.openxmlformats.org/officeDocument/2006/relationships/hyperlink" Target="https://mmd.app/s/MMD-AUD-0074" TargetMode="External" Id="rId70" /><Relationship Type="http://schemas.openxmlformats.org/officeDocument/2006/relationships/hyperlink" Target="https://mmd.app/s/MMD-AUD-0075" TargetMode="External" Id="rId71" /><Relationship Type="http://schemas.openxmlformats.org/officeDocument/2006/relationships/hyperlink" Target="https://mmd.app/s/MMD-AUD-0076" TargetMode="External" Id="rId72" /><Relationship Type="http://schemas.openxmlformats.org/officeDocument/2006/relationships/hyperlink" Target="https://mmd.app/s/MMD-AUD-0077" TargetMode="External" Id="rId73" /><Relationship Type="http://schemas.openxmlformats.org/officeDocument/2006/relationships/hyperlink" Target="https://mmd.app/s/MMD-AUD-0078" TargetMode="External" Id="rId74" /><Relationship Type="http://schemas.openxmlformats.org/officeDocument/2006/relationships/hyperlink" Target="https://mmd.app/s/MMD-AUD-0098" TargetMode="External" Id="rId75" /><Relationship Type="http://schemas.openxmlformats.org/officeDocument/2006/relationships/hyperlink" Target="https://mmd.app/s/MMD-AUD-0079" TargetMode="External" Id="rId76" /><Relationship Type="http://schemas.openxmlformats.org/officeDocument/2006/relationships/hyperlink" Target="https://mmd.app/s/MMD-AUD-0080" TargetMode="External" Id="rId77" /><Relationship Type="http://schemas.openxmlformats.org/officeDocument/2006/relationships/hyperlink" Target="https://mmd.app/s/MMD-AUD-0081" TargetMode="External" Id="rId78" /><Relationship Type="http://schemas.openxmlformats.org/officeDocument/2006/relationships/hyperlink" Target="https://mmd.app/s/MMD-AUD-0082" TargetMode="External" Id="rId79" /><Relationship Type="http://schemas.openxmlformats.org/officeDocument/2006/relationships/hyperlink" Target="https://mmd.app/s/MMD-AUD-0083" TargetMode="External" Id="rId80" /><Relationship Type="http://schemas.openxmlformats.org/officeDocument/2006/relationships/hyperlink" Target="https://mmd.app/s/MMD-AUD-0084" TargetMode="External" Id="rId81" /><Relationship Type="http://schemas.openxmlformats.org/officeDocument/2006/relationships/hyperlink" Target="https://mmd.app/s/MMD-AUD-0085" TargetMode="External" Id="rId82" /><Relationship Type="http://schemas.openxmlformats.org/officeDocument/2006/relationships/hyperlink" Target="https://mmd.app/s/MMD-AUD-0086" TargetMode="External" Id="rId83" /><Relationship Type="http://schemas.openxmlformats.org/officeDocument/2006/relationships/hyperlink" Target="https://mmd.app/s/MMD-AUD-0087" TargetMode="External" Id="rId84" /><Relationship Type="http://schemas.openxmlformats.org/officeDocument/2006/relationships/hyperlink" Target="https://mmd.app/s/MMD-AUD-0088" TargetMode="External" Id="rId85" /><Relationship Type="http://schemas.openxmlformats.org/officeDocument/2006/relationships/hyperlink" Target="https://mmd.app/s/MMD-AUD-0089" TargetMode="External" Id="rId86" /><Relationship Type="http://schemas.openxmlformats.org/officeDocument/2006/relationships/hyperlink" Target="https://mmd.app/s/MMD-AUD-0090" TargetMode="External" Id="rId87" /><Relationship Type="http://schemas.openxmlformats.org/officeDocument/2006/relationships/hyperlink" Target="https://mmd.app/s/MMD-AUD-0091" TargetMode="External" Id="rId88" /><Relationship Type="http://schemas.openxmlformats.org/officeDocument/2006/relationships/hyperlink" Target="https://mmd.app/s/MMD-AUD-0092" TargetMode="External" Id="rId89" /><Relationship Type="http://schemas.openxmlformats.org/officeDocument/2006/relationships/hyperlink" Target="https://mmd.app/s/MMD-AUD-0093" TargetMode="External" Id="rId90" /><Relationship Type="http://schemas.openxmlformats.org/officeDocument/2006/relationships/hyperlink" Target="https://mmd.app/s/MMD-AUD-0094" TargetMode="External" Id="rId91" /><Relationship Type="http://schemas.openxmlformats.org/officeDocument/2006/relationships/hyperlink" Target="https://mmd.app/s/MMD-AUD-0095" TargetMode="External" Id="rId92" /><Relationship Type="http://schemas.openxmlformats.org/officeDocument/2006/relationships/hyperlink" Target="https://mmd.app/s/MMD-AUD-0096" TargetMode="External" Id="rId93" /><Relationship Type="http://schemas.openxmlformats.org/officeDocument/2006/relationships/hyperlink" Target="https://mmd.app/s/MMD-AUD-0097" TargetMode="External" Id="rId94" /><Relationship Type="http://schemas.openxmlformats.org/officeDocument/2006/relationships/hyperlink" Target="https://mmd.app/s/MMD-AUD-0099" TargetMode="External" Id="rId95" /><Relationship Type="http://schemas.openxmlformats.org/officeDocument/2006/relationships/hyperlink" Target="https://mmd.app/s/MMD-AUD-0101" TargetMode="External" Id="rId96" /><Relationship Type="http://schemas.openxmlformats.org/officeDocument/2006/relationships/hyperlink" Target="https://mmd.app/s/MMD-AUD-0102" TargetMode="External" Id="rId97" /><Relationship Type="http://schemas.openxmlformats.org/officeDocument/2006/relationships/hyperlink" Target="https://mmd.app/s/MMD-AUD-0103" TargetMode="External" Id="rId98" /><Relationship Type="http://schemas.openxmlformats.org/officeDocument/2006/relationships/hyperlink" Target="https://mmd.app/s/MMD-AUD-0104" TargetMode="External" Id="rId99" /><Relationship Type="http://schemas.openxmlformats.org/officeDocument/2006/relationships/hyperlink" Target="https://mmd.app/s/MMD-AUD-0105" TargetMode="External" Id="rId100" /><Relationship Type="http://schemas.openxmlformats.org/officeDocument/2006/relationships/hyperlink" Target="https://mmd.app/s/MMD-AUD-0106" TargetMode="External" Id="rId101" /><Relationship Type="http://schemas.openxmlformats.org/officeDocument/2006/relationships/hyperlink" Target="https://mmd.app/s/MMD-AUD-0107" TargetMode="External" Id="rId102" /><Relationship Type="http://schemas.openxmlformats.org/officeDocument/2006/relationships/hyperlink" Target="https://mmd.app/s/MMD-AUD-0108" TargetMode="External" Id="rId103" /><Relationship Type="http://schemas.openxmlformats.org/officeDocument/2006/relationships/hyperlink" Target="https://mmd.app/s/MMD-AUD-0109" TargetMode="External" Id="rId104" /><Relationship Type="http://schemas.openxmlformats.org/officeDocument/2006/relationships/hyperlink" Target="https://mmd.app/s/MMD-AUD-0110" TargetMode="External" Id="rId105" /><Relationship Type="http://schemas.openxmlformats.org/officeDocument/2006/relationships/hyperlink" Target="https://mmd.app/s/MMD-AUD-0111" TargetMode="External" Id="rId106" /><Relationship Type="http://schemas.openxmlformats.org/officeDocument/2006/relationships/hyperlink" Target="https://mmd.app/s/MMD-AUD-0112" TargetMode="External" Id="rId107" /><Relationship Type="http://schemas.openxmlformats.org/officeDocument/2006/relationships/hyperlink" Target="https://mmd.app/s/MMD-AUD-0113" TargetMode="External" Id="rId108" /><Relationship Type="http://schemas.openxmlformats.org/officeDocument/2006/relationships/hyperlink" Target="https://mmd.app/s/MMD-AUD-0114" TargetMode="External" Id="rId109" /><Relationship Type="http://schemas.openxmlformats.org/officeDocument/2006/relationships/hyperlink" Target="https://mmd.app/s/MMD-AUD-0115" TargetMode="External" Id="rId110" /><Relationship Type="http://schemas.openxmlformats.org/officeDocument/2006/relationships/hyperlink" Target="https://mmd.app/s/MMD-AUD-0116" TargetMode="External" Id="rId111" /><Relationship Type="http://schemas.openxmlformats.org/officeDocument/2006/relationships/hyperlink" Target="https://mmd.app/s/MMD-AUD-0117" TargetMode="External" Id="rId112" /><Relationship Type="http://schemas.openxmlformats.org/officeDocument/2006/relationships/hyperlink" Target="https://mmd.app/s/MMD-AUD-0118" TargetMode="External" Id="rId113" /><Relationship Type="http://schemas.openxmlformats.org/officeDocument/2006/relationships/hyperlink" Target="https://mmd.app/s/MMD-AUD-0119" TargetMode="External" Id="rId114" /><Relationship Type="http://schemas.openxmlformats.org/officeDocument/2006/relationships/hyperlink" Target="https://mmd.app/s/MMD-AUD-0120" TargetMode="External" Id="rId115" /><Relationship Type="http://schemas.openxmlformats.org/officeDocument/2006/relationships/hyperlink" Target="https://mmd.app/s/MMD-AUD-0121" TargetMode="External" Id="rId116" /><Relationship Type="http://schemas.openxmlformats.org/officeDocument/2006/relationships/hyperlink" Target="https://mmd.app/s/MMD-AUD-0122" TargetMode="External" Id="rId117" /><Relationship Type="http://schemas.openxmlformats.org/officeDocument/2006/relationships/hyperlink" Target="https://mmd.app/s/MMD-AUD-0123" TargetMode="External" Id="rId118" /><Relationship Type="http://schemas.openxmlformats.org/officeDocument/2006/relationships/hyperlink" Target="https://mmd.app/s/MMD-AUD-0124" TargetMode="External" Id="rId119" /><Relationship Type="http://schemas.openxmlformats.org/officeDocument/2006/relationships/hyperlink" Target="https://mmd.app/s/MMD-AUD-0125" TargetMode="External" Id="rId120" /><Relationship Type="http://schemas.openxmlformats.org/officeDocument/2006/relationships/hyperlink" Target="https://mmd.app/s/MMD-AUD-0126" TargetMode="External" Id="rId121" /><Relationship Type="http://schemas.openxmlformats.org/officeDocument/2006/relationships/hyperlink" Target="https://mmd.app/s/MMD-AUD-0127" TargetMode="External" Id="rId122" /><Relationship Type="http://schemas.openxmlformats.org/officeDocument/2006/relationships/hyperlink" Target="https://mmd.app/s/MMD-AUD-0128" TargetMode="External" Id="rId123" /><Relationship Type="http://schemas.openxmlformats.org/officeDocument/2006/relationships/hyperlink" Target="https://mmd.app/s/MMD-AUD-0129" TargetMode="External" Id="rId124" /><Relationship Type="http://schemas.openxmlformats.org/officeDocument/2006/relationships/hyperlink" Target="https://mmd.app/s/MMD-AUD-0130" TargetMode="External" Id="rId125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mmd.app/s/MMD-ENE-0006" TargetMode="External" Id="rId1" /><Relationship Type="http://schemas.openxmlformats.org/officeDocument/2006/relationships/hyperlink" Target="https://mmd.app/s/MMD-ENE-0001" TargetMode="External" Id="rId2" /><Relationship Type="http://schemas.openxmlformats.org/officeDocument/2006/relationships/hyperlink" Target="https://mmd.app/s/MMD-ENE-0002" TargetMode="External" Id="rId3" /><Relationship Type="http://schemas.openxmlformats.org/officeDocument/2006/relationships/hyperlink" Target="https://mmd.app/s/MMD-ENE-0003" TargetMode="External" Id="rId4" /><Relationship Type="http://schemas.openxmlformats.org/officeDocument/2006/relationships/hyperlink" Target="https://mmd.app/s/MMD-ENE-0004" TargetMode="External" Id="rId5" /><Relationship Type="http://schemas.openxmlformats.org/officeDocument/2006/relationships/hyperlink" Target="https://mmd.app/s/MMD-ENE-0005" TargetMode="External" Id="rId6" /><Relationship Type="http://schemas.openxmlformats.org/officeDocument/2006/relationships/hyperlink" Target="https://mmd.app/s/MMD-ENE-0027" TargetMode="External" Id="rId7" /><Relationship Type="http://schemas.openxmlformats.org/officeDocument/2006/relationships/hyperlink" Target="https://mmd.app/s/MMD-ENE-0007" TargetMode="External" Id="rId8" /><Relationship Type="http://schemas.openxmlformats.org/officeDocument/2006/relationships/hyperlink" Target="https://mmd.app/s/MMD-ENE-0008" TargetMode="External" Id="rId9" /><Relationship Type="http://schemas.openxmlformats.org/officeDocument/2006/relationships/hyperlink" Target="https://mmd.app/s/MMD-ENE-0009" TargetMode="External" Id="rId10" /><Relationship Type="http://schemas.openxmlformats.org/officeDocument/2006/relationships/hyperlink" Target="https://mmd.app/s/MMD-ENE-0010" TargetMode="External" Id="rId11" /><Relationship Type="http://schemas.openxmlformats.org/officeDocument/2006/relationships/hyperlink" Target="https://mmd.app/s/MMD-ENE-0011" TargetMode="External" Id="rId12" /><Relationship Type="http://schemas.openxmlformats.org/officeDocument/2006/relationships/hyperlink" Target="https://mmd.app/s/MMD-ENE-0012" TargetMode="External" Id="rId13" /><Relationship Type="http://schemas.openxmlformats.org/officeDocument/2006/relationships/hyperlink" Target="https://mmd.app/s/MMD-ENE-0013" TargetMode="External" Id="rId14" /><Relationship Type="http://schemas.openxmlformats.org/officeDocument/2006/relationships/hyperlink" Target="https://mmd.app/s/MMD-ENE-0014" TargetMode="External" Id="rId15" /><Relationship Type="http://schemas.openxmlformats.org/officeDocument/2006/relationships/hyperlink" Target="https://mmd.app/s/MMD-ENE-0015" TargetMode="External" Id="rId16" /><Relationship Type="http://schemas.openxmlformats.org/officeDocument/2006/relationships/hyperlink" Target="https://mmd.app/s/MMD-ENE-0016" TargetMode="External" Id="rId17" /><Relationship Type="http://schemas.openxmlformats.org/officeDocument/2006/relationships/hyperlink" Target="https://mmd.app/s/MMD-ENE-0017" TargetMode="External" Id="rId18" /><Relationship Type="http://schemas.openxmlformats.org/officeDocument/2006/relationships/hyperlink" Target="https://mmd.app/s/MMD-ENE-0018" TargetMode="External" Id="rId19" /><Relationship Type="http://schemas.openxmlformats.org/officeDocument/2006/relationships/hyperlink" Target="https://mmd.app/s/MMD-ENE-0019" TargetMode="External" Id="rId20" /><Relationship Type="http://schemas.openxmlformats.org/officeDocument/2006/relationships/hyperlink" Target="https://mmd.app/s/MMD-ENE-0020" TargetMode="External" Id="rId21" /><Relationship Type="http://schemas.openxmlformats.org/officeDocument/2006/relationships/hyperlink" Target="https://mmd.app/s/MMD-ENE-0021" TargetMode="External" Id="rId22" /><Relationship Type="http://schemas.openxmlformats.org/officeDocument/2006/relationships/hyperlink" Target="https://mmd.app/s/MMD-ENE-0022" TargetMode="External" Id="rId23" /><Relationship Type="http://schemas.openxmlformats.org/officeDocument/2006/relationships/hyperlink" Target="https://mmd.app/s/MMD-ENE-0023" TargetMode="External" Id="rId24" /><Relationship Type="http://schemas.openxmlformats.org/officeDocument/2006/relationships/hyperlink" Target="https://mmd.app/s/MMD-ENE-0024" TargetMode="External" Id="rId25" /><Relationship Type="http://schemas.openxmlformats.org/officeDocument/2006/relationships/hyperlink" Target="https://mmd.app/s/MMD-ENE-0025" TargetMode="External" Id="rId26" /><Relationship Type="http://schemas.openxmlformats.org/officeDocument/2006/relationships/hyperlink" Target="https://mmd.app/s/MMD-ENE-0026" TargetMode="External" Id="rId27" /></Relationships>
</file>

<file path=xl/worksheets/_rels/sheet7.xml.rels><Relationships xmlns="http://schemas.openxmlformats.org/package/2006/relationships"><Relationship Type="http://schemas.openxmlformats.org/officeDocument/2006/relationships/hyperlink" Target="https://mmd.app/s/MMD-EST-0035" TargetMode="External" Id="rId1" /><Relationship Type="http://schemas.openxmlformats.org/officeDocument/2006/relationships/hyperlink" Target="https://mmd.app/s/MMD-EST-0036" TargetMode="External" Id="rId2" /><Relationship Type="http://schemas.openxmlformats.org/officeDocument/2006/relationships/hyperlink" Target="https://mmd.app/s/MMD-EST-0037" TargetMode="External" Id="rId3" /><Relationship Type="http://schemas.openxmlformats.org/officeDocument/2006/relationships/hyperlink" Target="https://mmd.app/s/MMD-EST-0038" TargetMode="External" Id="rId4" /><Relationship Type="http://schemas.openxmlformats.org/officeDocument/2006/relationships/hyperlink" Target="https://mmd.app/s/MMD-EST-0039" TargetMode="External" Id="rId5" /><Relationship Type="http://schemas.openxmlformats.org/officeDocument/2006/relationships/hyperlink" Target="https://mmd.app/s/MMD-EST-0040" TargetMode="External" Id="rId6" /><Relationship Type="http://schemas.openxmlformats.org/officeDocument/2006/relationships/hyperlink" Target="https://mmd.app/s/MMD-EST-0041" TargetMode="External" Id="rId7" /><Relationship Type="http://schemas.openxmlformats.org/officeDocument/2006/relationships/hyperlink" Target="https://mmd.app/s/MMD-EST-0042" TargetMode="External" Id="rId8" /><Relationship Type="http://schemas.openxmlformats.org/officeDocument/2006/relationships/hyperlink" Target="https://mmd.app/s/MMD-EST-0043" TargetMode="External" Id="rId9" /><Relationship Type="http://schemas.openxmlformats.org/officeDocument/2006/relationships/hyperlink" Target="https://mmd.app/s/MMD-EST-0031" TargetMode="External" Id="rId10" /><Relationship Type="http://schemas.openxmlformats.org/officeDocument/2006/relationships/hyperlink" Target="https://mmd.app/s/MMD-EST-0032" TargetMode="External" Id="rId11" /><Relationship Type="http://schemas.openxmlformats.org/officeDocument/2006/relationships/hyperlink" Target="https://mmd.app/s/MMD-EST-0033" TargetMode="External" Id="rId12" /><Relationship Type="http://schemas.openxmlformats.org/officeDocument/2006/relationships/hyperlink" Target="https://mmd.app/s/MMD-EST-0034" TargetMode="External" Id="rId13" /><Relationship Type="http://schemas.openxmlformats.org/officeDocument/2006/relationships/hyperlink" Target="https://mmd.app/s/MMD-EST-0001" TargetMode="External" Id="rId14" /><Relationship Type="http://schemas.openxmlformats.org/officeDocument/2006/relationships/hyperlink" Target="https://mmd.app/s/MMD-EST-0002" TargetMode="External" Id="rId15" /><Relationship Type="http://schemas.openxmlformats.org/officeDocument/2006/relationships/hyperlink" Target="https://mmd.app/s/MMD-EST-0003" TargetMode="External" Id="rId16" /><Relationship Type="http://schemas.openxmlformats.org/officeDocument/2006/relationships/hyperlink" Target="https://mmd.app/s/MMD-EST-0004" TargetMode="External" Id="rId17" /><Relationship Type="http://schemas.openxmlformats.org/officeDocument/2006/relationships/hyperlink" Target="https://mmd.app/s/MMD-EST-0005" TargetMode="External" Id="rId18" /><Relationship Type="http://schemas.openxmlformats.org/officeDocument/2006/relationships/hyperlink" Target="https://mmd.app/s/MMD-EST-0006" TargetMode="External" Id="rId19" /><Relationship Type="http://schemas.openxmlformats.org/officeDocument/2006/relationships/hyperlink" Target="https://mmd.app/s/MMD-EST-0007" TargetMode="External" Id="rId20" /><Relationship Type="http://schemas.openxmlformats.org/officeDocument/2006/relationships/hyperlink" Target="https://mmd.app/s/MMD-EST-0008" TargetMode="External" Id="rId21" /><Relationship Type="http://schemas.openxmlformats.org/officeDocument/2006/relationships/hyperlink" Target="https://mmd.app/s/MMD-EST-0009" TargetMode="External" Id="rId22" /><Relationship Type="http://schemas.openxmlformats.org/officeDocument/2006/relationships/hyperlink" Target="https://mmd.app/s/MMD-EST-0010" TargetMode="External" Id="rId23" /><Relationship Type="http://schemas.openxmlformats.org/officeDocument/2006/relationships/hyperlink" Target="https://mmd.app/s/MMD-EST-0011" TargetMode="External" Id="rId24" /><Relationship Type="http://schemas.openxmlformats.org/officeDocument/2006/relationships/hyperlink" Target="https://mmd.app/s/MMD-EST-0012" TargetMode="External" Id="rId25" /><Relationship Type="http://schemas.openxmlformats.org/officeDocument/2006/relationships/hyperlink" Target="https://mmd.app/s/MMD-EST-0013" TargetMode="External" Id="rId26" /><Relationship Type="http://schemas.openxmlformats.org/officeDocument/2006/relationships/hyperlink" Target="https://mmd.app/s/MMD-EST-0014" TargetMode="External" Id="rId27" /><Relationship Type="http://schemas.openxmlformats.org/officeDocument/2006/relationships/hyperlink" Target="https://mmd.app/s/MMD-EST-0015" TargetMode="External" Id="rId28" /><Relationship Type="http://schemas.openxmlformats.org/officeDocument/2006/relationships/hyperlink" Target="https://mmd.app/s/MMD-EST-0016" TargetMode="External" Id="rId29" /><Relationship Type="http://schemas.openxmlformats.org/officeDocument/2006/relationships/hyperlink" Target="https://mmd.app/s/MMD-EST-0017" TargetMode="External" Id="rId30" /><Relationship Type="http://schemas.openxmlformats.org/officeDocument/2006/relationships/hyperlink" Target="https://mmd.app/s/MMD-EST-0018" TargetMode="External" Id="rId31" /><Relationship Type="http://schemas.openxmlformats.org/officeDocument/2006/relationships/hyperlink" Target="https://mmd.app/s/MMD-EST-0019" TargetMode="External" Id="rId32" /><Relationship Type="http://schemas.openxmlformats.org/officeDocument/2006/relationships/hyperlink" Target="https://mmd.app/s/MMD-EST-0020" TargetMode="External" Id="rId33" /><Relationship Type="http://schemas.openxmlformats.org/officeDocument/2006/relationships/hyperlink" Target="https://mmd.app/s/MMD-EST-0021" TargetMode="External" Id="rId34" /><Relationship Type="http://schemas.openxmlformats.org/officeDocument/2006/relationships/hyperlink" Target="https://mmd.app/s/MMD-EST-0022" TargetMode="External" Id="rId35" /><Relationship Type="http://schemas.openxmlformats.org/officeDocument/2006/relationships/hyperlink" Target="https://mmd.app/s/MMD-EST-0023" TargetMode="External" Id="rId36" /><Relationship Type="http://schemas.openxmlformats.org/officeDocument/2006/relationships/hyperlink" Target="https://mmd.app/s/MMD-EST-0024" TargetMode="External" Id="rId37" /><Relationship Type="http://schemas.openxmlformats.org/officeDocument/2006/relationships/hyperlink" Target="https://mmd.app/s/MMD-EST-0025" TargetMode="External" Id="rId38" /><Relationship Type="http://schemas.openxmlformats.org/officeDocument/2006/relationships/hyperlink" Target="https://mmd.app/s/MMD-EST-0026" TargetMode="External" Id="rId39" /><Relationship Type="http://schemas.openxmlformats.org/officeDocument/2006/relationships/hyperlink" Target="https://mmd.app/s/MMD-EST-0027" TargetMode="External" Id="rId40" /><Relationship Type="http://schemas.openxmlformats.org/officeDocument/2006/relationships/hyperlink" Target="https://mmd.app/s/MMD-EST-0028" TargetMode="External" Id="rId41" /><Relationship Type="http://schemas.openxmlformats.org/officeDocument/2006/relationships/hyperlink" Target="https://mmd.app/s/MMD-EST-0029" TargetMode="External" Id="rId42" /><Relationship Type="http://schemas.openxmlformats.org/officeDocument/2006/relationships/hyperlink" Target="https://mmd.app/s/MMD-EST-0030" TargetMode="External" Id="rId43" /></Relationships>
</file>

<file path=xl/worksheets/_rels/sheet8.xml.rels><Relationships xmlns="http://schemas.openxmlformats.org/package/2006/relationships"><Relationship Type="http://schemas.openxmlformats.org/officeDocument/2006/relationships/hyperlink" Target="https://mmd.app/s/MMD-EFE-0001" TargetMode="External" Id="rId1" /><Relationship Type="http://schemas.openxmlformats.org/officeDocument/2006/relationships/hyperlink" Target="https://mmd.app/s/MMD-EFE-0002" TargetMode="External" Id="rId2" /><Relationship Type="http://schemas.openxmlformats.org/officeDocument/2006/relationships/hyperlink" Target="https://mmd.app/s/MMD-EFE-0003" TargetMode="External" Id="rId3" /><Relationship Type="http://schemas.openxmlformats.org/officeDocument/2006/relationships/hyperlink" Target="https://mmd.app/s/MMD-EFE-0004" TargetMode="External" Id="rId4" /><Relationship Type="http://schemas.openxmlformats.org/officeDocument/2006/relationships/hyperlink" Target="https://mmd.app/s/MMD-EFE-0005" TargetMode="External" Id="rId5" /><Relationship Type="http://schemas.openxmlformats.org/officeDocument/2006/relationships/hyperlink" Target="https://mmd.app/s/MMD-EFE-0006" TargetMode="External" Id="rId6" /><Relationship Type="http://schemas.openxmlformats.org/officeDocument/2006/relationships/hyperlink" Target="https://mmd.app/s/MMD-EFE-0007" TargetMode="External" Id="rId7" /><Relationship Type="http://schemas.openxmlformats.org/officeDocument/2006/relationships/hyperlink" Target="https://mmd.app/s/MMD-EFE-0008" TargetMode="External" Id="rId8" /><Relationship Type="http://schemas.openxmlformats.org/officeDocument/2006/relationships/hyperlink" Target="https://mmd.app/s/MMD-EFE-0009" TargetMode="External" Id="rId9" /><Relationship Type="http://schemas.openxmlformats.org/officeDocument/2006/relationships/hyperlink" Target="https://mmd.app/s/MMD-EFE-0010" TargetMode="External" Id="rId10" /><Relationship Type="http://schemas.openxmlformats.org/officeDocument/2006/relationships/hyperlink" Target="https://mmd.app/s/MMD-EFE-0011" TargetMode="External" Id="rId11" /><Relationship Type="http://schemas.openxmlformats.org/officeDocument/2006/relationships/hyperlink" Target="https://mmd.app/s/MMD-EFE-0012" TargetMode="External" Id="rId12" /><Relationship Type="http://schemas.openxmlformats.org/officeDocument/2006/relationships/hyperlink" Target="https://mmd.app/s/MMD-EFE-0013" TargetMode="External" Id="rId13" /></Relationships>
</file>

<file path=xl/worksheets/_rels/sheet9.xml.rels><Relationships xmlns="http://schemas.openxmlformats.org/package/2006/relationships"><Relationship Type="http://schemas.openxmlformats.org/officeDocument/2006/relationships/hyperlink" Target="https://mmd.app/s/MMD-VID-0001" TargetMode="External" Id="rId1" /><Relationship Type="http://schemas.openxmlformats.org/officeDocument/2006/relationships/hyperlink" Target="https://mmd.app/s/MMD-VID-0002" TargetMode="External" Id="rId2" /><Relationship Type="http://schemas.openxmlformats.org/officeDocument/2006/relationships/hyperlink" Target="https://mmd.app/s/MMD-VID-0003" TargetMode="External" Id="rId3" /><Relationship Type="http://schemas.openxmlformats.org/officeDocument/2006/relationships/hyperlink" Target="https://mmd.app/s/MMD-VID-0008" TargetMode="External" Id="rId4" /><Relationship Type="http://schemas.openxmlformats.org/officeDocument/2006/relationships/hyperlink" Target="https://mmd.app/s/MMD-VID-0004" TargetMode="External" Id="rId5" /><Relationship Type="http://schemas.openxmlformats.org/officeDocument/2006/relationships/hyperlink" Target="https://mmd.app/s/MMD-VID-0005" TargetMode="External" Id="rId6" /><Relationship Type="http://schemas.openxmlformats.org/officeDocument/2006/relationships/hyperlink" Target="https://mmd.app/s/MMD-VID-0006" TargetMode="External" Id="rId7" /><Relationship Type="http://schemas.openxmlformats.org/officeDocument/2006/relationships/hyperlink" Target="https://mmd.app/s/MMD-VID-0007" TargetMode="External" Id="rId8" /><Relationship Type="http://schemas.openxmlformats.org/officeDocument/2006/relationships/hyperlink" Target="https://mmd.app/s/MMD-VID-0009" TargetMode="External" Id="rId9" /></Relationships>
</file>

<file path=xl/worksheets/_rels/sheet10.xml.rels><Relationships xmlns="http://schemas.openxmlformats.org/package/2006/relationships"><Relationship Type="http://schemas.openxmlformats.org/officeDocument/2006/relationships/hyperlink" Target="https://mmd.app/s/MMD-ACE-0001" TargetMode="External" Id="rId1" /><Relationship Type="http://schemas.openxmlformats.org/officeDocument/2006/relationships/hyperlink" Target="https://mmd.app/s/MMD-ACE-0022" TargetMode="External" Id="rId2" /><Relationship Type="http://schemas.openxmlformats.org/officeDocument/2006/relationships/hyperlink" Target="https://mmd.app/s/MMD-ACE-0002" TargetMode="External" Id="rId3" /><Relationship Type="http://schemas.openxmlformats.org/officeDocument/2006/relationships/hyperlink" Target="https://mmd.app/s/MMD-ACE-0003" TargetMode="External" Id="rId4" /><Relationship Type="http://schemas.openxmlformats.org/officeDocument/2006/relationships/hyperlink" Target="https://mmd.app/s/MMD-ACE-0004" TargetMode="External" Id="rId5" /><Relationship Type="http://schemas.openxmlformats.org/officeDocument/2006/relationships/hyperlink" Target="https://mmd.app/s/MMD-ACE-0005" TargetMode="External" Id="rId6" /><Relationship Type="http://schemas.openxmlformats.org/officeDocument/2006/relationships/hyperlink" Target="https://mmd.app/s/MMD-ACE-0006" TargetMode="External" Id="rId7" /><Relationship Type="http://schemas.openxmlformats.org/officeDocument/2006/relationships/hyperlink" Target="https://mmd.app/s/MMD-ACE-0007" TargetMode="External" Id="rId8" /><Relationship Type="http://schemas.openxmlformats.org/officeDocument/2006/relationships/hyperlink" Target="https://mmd.app/s/MMD-ACE-0008" TargetMode="External" Id="rId9" /><Relationship Type="http://schemas.openxmlformats.org/officeDocument/2006/relationships/hyperlink" Target="https://mmd.app/s/MMD-ACE-0009" TargetMode="External" Id="rId10" /><Relationship Type="http://schemas.openxmlformats.org/officeDocument/2006/relationships/hyperlink" Target="https://mmd.app/s/MMD-ACE-0010" TargetMode="External" Id="rId11" /><Relationship Type="http://schemas.openxmlformats.org/officeDocument/2006/relationships/hyperlink" Target="https://mmd.app/s/MMD-ACE-0011" TargetMode="External" Id="rId12" /><Relationship Type="http://schemas.openxmlformats.org/officeDocument/2006/relationships/hyperlink" Target="https://mmd.app/s/MMD-ACE-0024" TargetMode="External" Id="rId13" /><Relationship Type="http://schemas.openxmlformats.org/officeDocument/2006/relationships/hyperlink" Target="https://mmd.app/s/MMD-ACE-0012" TargetMode="External" Id="rId14" /><Relationship Type="http://schemas.openxmlformats.org/officeDocument/2006/relationships/hyperlink" Target="https://mmd.app/s/MMD-ACE-0013" TargetMode="External" Id="rId15" /><Relationship Type="http://schemas.openxmlformats.org/officeDocument/2006/relationships/hyperlink" Target="https://mmd.app/s/MMD-ACE-0023" TargetMode="External" Id="rId16" /><Relationship Type="http://schemas.openxmlformats.org/officeDocument/2006/relationships/hyperlink" Target="https://mmd.app/s/MMD-ACE-0014" TargetMode="External" Id="rId17" /><Relationship Type="http://schemas.openxmlformats.org/officeDocument/2006/relationships/hyperlink" Target="https://mmd.app/s/MMD-ACE-0015" TargetMode="External" Id="rId18" /><Relationship Type="http://schemas.openxmlformats.org/officeDocument/2006/relationships/hyperlink" Target="https://mmd.app/s/MMD-ACE-0016" TargetMode="External" Id="rId19" /><Relationship Type="http://schemas.openxmlformats.org/officeDocument/2006/relationships/hyperlink" Target="https://mmd.app/s/MMD-ACE-0017" TargetMode="External" Id="rId20" /><Relationship Type="http://schemas.openxmlformats.org/officeDocument/2006/relationships/hyperlink" Target="https://mmd.app/s/MMD-ACE-0018" TargetMode="External" Id="rId21" /><Relationship Type="http://schemas.openxmlformats.org/officeDocument/2006/relationships/hyperlink" Target="https://mmd.app/s/MMD-ACE-0019" TargetMode="External" Id="rId22" /><Relationship Type="http://schemas.openxmlformats.org/officeDocument/2006/relationships/hyperlink" Target="https://mmd.app/s/MMD-ACE-0020" TargetMode="External" Id="rId23" /><Relationship Type="http://schemas.openxmlformats.org/officeDocument/2006/relationships/hyperlink" Target="https://mmd.app/s/MMD-ACE-0021" TargetMode="External" Id="rId24" /></Relationships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50" customWidth="1" min="3" max="3"/>
    <col width="3" customWidth="1" min="4" max="4"/>
  </cols>
  <sheetData>
    <row r="1"/>
    <row r="2" ht="50" customHeight="1">
      <c r="B2" s="1" t="inlineStr">
        <is>
          <t>MMD EVENTOS</t>
        </is>
      </c>
    </row>
    <row r="3" ht="28" customHeight="1">
      <c r="B3" s="2" t="inlineStr">
        <is>
          <t>INVENTARIO INTELIGENTE  —  MANUAL DE USO</t>
        </is>
      </c>
    </row>
    <row r="4">
      <c r="B4" s="3" t="inlineStr">
        <is>
          <t xml:space="preserve">  Atualizado em 03/04/2026</t>
        </is>
      </c>
    </row>
    <row r="5"/>
    <row r="6" ht="40" customHeight="1">
      <c r="B6" s="4" t="inlineStr">
        <is>
          <t xml:space="preserve">  NAVEGACAO</t>
        </is>
      </c>
    </row>
    <row r="7" ht="24" customHeight="1">
      <c r="B7" s="6" t="inlineStr">
        <is>
          <t xml:space="preserve">  Cada aba na parte inferior corresponde a uma categoria de equipamento.</t>
        </is>
      </c>
    </row>
    <row r="8" ht="24" customHeight="1">
      <c r="B8" s="6" t="inlineStr">
        <is>
          <t xml:space="preserve">  DASHBOARD mostra resumo geral com graficos e numeros.</t>
        </is>
      </c>
    </row>
    <row r="9" ht="24" customHeight="1">
      <c r="B9" s="6" t="inlineStr">
        <is>
          <t xml:space="preserve">  Use os FILTROS no header de cada coluna para buscar itens.</t>
        </is>
      </c>
    </row>
    <row r="10" ht="24" customHeight="1">
      <c r="B10" s="6" t="inlineStr">
        <is>
          <t xml:space="preserve">  LOTES agrupa cabos em kits. FORA DE OPERACAO = vendidos/emprestados.</t>
        </is>
      </c>
    </row>
    <row r="12" ht="40" customHeight="1">
      <c r="B12" s="7" t="inlineStr">
        <is>
          <t xml:space="preserve">  STATUS — Onde o item esta</t>
        </is>
      </c>
    </row>
    <row r="13" ht="28" customHeight="1">
      <c r="B13" s="9" t="inlineStr">
        <is>
          <t xml:space="preserve">  DISPONIVEL</t>
        </is>
      </c>
      <c r="C13" s="6" t="inlineStr">
        <is>
          <t xml:space="preserve">  No galpao, pronto para uso</t>
        </is>
      </c>
    </row>
    <row r="14" ht="28" customHeight="1">
      <c r="B14" s="10" t="inlineStr">
        <is>
          <t xml:space="preserve">  EM_CAMPO</t>
        </is>
      </c>
      <c r="C14" s="6" t="inlineStr">
        <is>
          <t xml:space="preserve">  Saiu para evento, em uso</t>
        </is>
      </c>
    </row>
    <row r="15" ht="28" customHeight="1">
      <c r="B15" s="11" t="inlineStr">
        <is>
          <t xml:space="preserve">  PACKED</t>
        </is>
      </c>
      <c r="C15" s="6" t="inlineStr">
        <is>
          <t xml:space="preserve">  Separado para evento, ainda no galpao</t>
        </is>
      </c>
    </row>
    <row r="16" ht="28" customHeight="1">
      <c r="B16" s="12" t="inlineStr">
        <is>
          <t xml:space="preserve">  MANUTENCAO</t>
        </is>
      </c>
      <c r="C16" s="6" t="inlineStr">
        <is>
          <t xml:space="preserve">  Em reparo ou revisao</t>
        </is>
      </c>
    </row>
    <row r="17" ht="28" customHeight="1">
      <c r="B17" s="13" t="inlineStr">
        <is>
          <t xml:space="preserve">  EMPRESTADO</t>
        </is>
      </c>
      <c r="C17" s="6" t="inlineStr">
        <is>
          <t xml:space="preserve">  Com terceiro (retorna)</t>
        </is>
      </c>
    </row>
    <row r="18" ht="28" customHeight="1">
      <c r="B18" s="14" t="inlineStr">
        <is>
          <t xml:space="preserve">  VENDIDO</t>
        </is>
      </c>
      <c r="C18" s="6" t="inlineStr">
        <is>
          <t xml:space="preserve">  Vendido, fora do estoque</t>
        </is>
      </c>
    </row>
    <row r="19" ht="28" customHeight="1">
      <c r="B19" s="14" t="inlineStr">
        <is>
          <t xml:space="preserve">  BAIXA</t>
        </is>
      </c>
      <c r="C19" s="6" t="inlineStr">
        <is>
          <t xml:space="preserve">  Descartado ou perdido</t>
        </is>
      </c>
    </row>
    <row r="21" ht="40" customHeight="1">
      <c r="B21" s="7" t="inlineStr">
        <is>
          <t xml:space="preserve">  ESTADO — Ciclo de vida do equipamento</t>
        </is>
      </c>
    </row>
    <row r="22" ht="28" customHeight="1">
      <c r="B22" s="9" t="inlineStr">
        <is>
          <t xml:space="preserve">  NOVO</t>
        </is>
      </c>
      <c r="C22" s="6" t="inlineStr">
        <is>
          <t xml:space="preserve">  Nunca usado em evento. Embalagem original.</t>
        </is>
      </c>
    </row>
    <row r="23" ht="28" customHeight="1">
      <c r="B23" s="11" t="inlineStr">
        <is>
          <t xml:space="preserve">  SEMI_NOVO</t>
        </is>
      </c>
      <c r="C23" s="6" t="inlineStr">
        <is>
          <t xml:space="preserve">  Usado 1 a 5 vezes. Sem marcas visiveis.</t>
        </is>
      </c>
    </row>
    <row r="24" ht="28" customHeight="1">
      <c r="B24" s="10" t="inlineStr">
        <is>
          <t xml:space="preserve">  USADO</t>
        </is>
      </c>
      <c r="C24" s="6" t="inlineStr">
        <is>
          <t xml:space="preserve">  Uso regular. Marcas normais de operacao.</t>
        </is>
      </c>
    </row>
    <row r="25" ht="28" customHeight="1">
      <c r="B25" s="15" t="inlineStr">
        <is>
          <t xml:space="preserve">  RECONDICIONADO</t>
        </is>
      </c>
      <c r="C25" s="6" t="inlineStr">
        <is>
          <t xml:space="preserve">  Foi reparado ou restaurado. Funcional.</t>
        </is>
      </c>
    </row>
    <row r="27" ht="40" customHeight="1">
      <c r="B27" s="7" t="inlineStr">
        <is>
          <t xml:space="preserve">  DESGASTE — Condicao fisica (1 a 5)</t>
        </is>
      </c>
    </row>
    <row r="28" ht="28" customHeight="1">
      <c r="B28" s="16" t="inlineStr">
        <is>
          <t xml:space="preserve">  ★★★★★ EXCELENTE</t>
        </is>
      </c>
      <c r="C28" s="6" t="inlineStr">
        <is>
          <t xml:space="preserve">  Como novo, sem marcas</t>
        </is>
      </c>
    </row>
    <row r="29" ht="28" customHeight="1">
      <c r="B29" s="17" t="inlineStr">
        <is>
          <t xml:space="preserve">  ★★★★☆ BOM</t>
        </is>
      </c>
      <c r="C29" s="6" t="inlineStr">
        <is>
          <t xml:space="preserve">  Marcas leves, 100% funcional</t>
        </is>
      </c>
    </row>
    <row r="30" ht="28" customHeight="1">
      <c r="B30" s="18" t="inlineStr">
        <is>
          <t xml:space="preserve">  ★★★☆☆ REGULAR</t>
        </is>
      </c>
      <c r="C30" s="6" t="inlineStr">
        <is>
          <t xml:space="preserve">  Uso visivel, funcional</t>
        </is>
      </c>
    </row>
    <row r="31" ht="28" customHeight="1">
      <c r="B31" s="19" t="inlineStr">
        <is>
          <t xml:space="preserve">  ★★☆☆☆ DESGASTADO</t>
        </is>
      </c>
      <c r="C31" s="6" t="inlineStr">
        <is>
          <t xml:space="preserve">  Problemas cosmeticos</t>
        </is>
      </c>
    </row>
    <row r="32" ht="28" customHeight="1">
      <c r="B32" s="20" t="inlineStr">
        <is>
          <t xml:space="preserve">  ★☆☆☆☆ CRITICO</t>
        </is>
      </c>
      <c r="C32" s="6" t="inlineStr">
        <is>
          <t xml:space="preserve">  Precisa reparo/trocar</t>
        </is>
      </c>
    </row>
    <row r="34" ht="40" customHeight="1">
      <c r="B34" s="21" t="inlineStr">
        <is>
          <t xml:space="preserve">  DEPRECIACAO — Calculo automatico</t>
        </is>
      </c>
    </row>
    <row r="35" ht="24" customHeight="1">
      <c r="B35" s="23" t="inlineStr">
        <is>
          <t xml:space="preserve">  Valor Atual prioriza o levantamento externo quando existir. Sem isso, sai uma sugestao inicial para ajuste manual.</t>
        </is>
      </c>
    </row>
    <row r="36" ht="24" customHeight="1">
      <c r="B36" s="6" t="inlineStr">
        <is>
          <t xml:space="preserve">  Deprec.% = 100% - (Valor Atual / Valor Original)</t>
        </is>
      </c>
    </row>
    <row r="37" ht="24" customHeight="1">
      <c r="B37" s="6" t="inlineStr">
        <is>
          <t xml:space="preserve">  Mudar Estado ou Desgaste nao altera a depreciacao. So Valor Atual altera.</t>
        </is>
      </c>
    </row>
    <row r="38" ht="24" customHeight="1">
      <c r="B38" s="24" t="inlineStr">
        <is>
          <t xml:space="preserve">  Estado e desgaste iniciais ja vem sugeridos por item, usando tipo, modelo e observacoes.</t>
        </is>
      </c>
    </row>
    <row r="39" ht="24" customHeight="1">
      <c r="B39" s="25" t="inlineStr">
        <is>
          <t xml:space="preserve">  Valor Atual aparece em verde para revisao rapida. Deprec.% acompanha esse valor.</t>
        </is>
      </c>
    </row>
    <row r="40" ht="24" customHeight="1">
      <c r="B40" s="24" t="inlineStr">
        <is>
          <t xml:space="preserve">  Serial Fab. e Subcategoria saem padronizados para leitura mais limpa.</t>
        </is>
      </c>
    </row>
    <row r="42" ht="40" customHeight="1">
      <c r="B42" s="4" t="inlineStr">
        <is>
          <t xml:space="preserve">  COMO ATUALIZAR O INVENTARIO</t>
        </is>
      </c>
    </row>
    <row r="43" ht="24" customHeight="1">
      <c r="B43" s="23" t="inlineStr">
        <is>
          <t xml:space="preserve">  ITEM NOVO: adicionar na aba da categoria. Estado=NOVO, Desgaste=★★★★★.</t>
        </is>
      </c>
    </row>
    <row r="44" ht="24" customHeight="1">
      <c r="B44" s="6" t="inlineStr">
        <is>
          <t xml:space="preserve">  APOS EVENTO: revisar desgaste dos itens que foram para o campo.</t>
        </is>
      </c>
    </row>
    <row r="45" ht="24" customHeight="1">
      <c r="B45" s="6" t="inlineStr">
        <is>
          <t xml:space="preserve">  DEFEITO: mudar status para MANUTENCAO e ajustar desgaste.</t>
        </is>
      </c>
    </row>
    <row r="46" ht="24" customHeight="1">
      <c r="B46" s="6" t="inlineStr">
        <is>
          <t xml:space="preserve">  VENDIDO: mover para aba FORA DE OPERACAO com status VENDIDO.</t>
        </is>
      </c>
    </row>
    <row r="48" ht="40" customHeight="1">
      <c r="B48" s="4" t="inlineStr">
        <is>
          <t xml:space="preserve">  CATEGORIAS DE EQUIPAMENTO</t>
        </is>
      </c>
    </row>
    <row r="49" ht="28" customHeight="1">
      <c r="B49" s="26" t="inlineStr">
        <is>
          <t xml:space="preserve">  ILUMINACAO (ILU)</t>
        </is>
      </c>
      <c r="C49" s="6" t="inlineStr">
        <is>
          <t xml:space="preserve">  Par LED, Ribalta, Moving, Strobo, Laser</t>
        </is>
      </c>
    </row>
    <row r="50" ht="28" customHeight="1">
      <c r="B50" s="27" t="inlineStr">
        <is>
          <t xml:space="preserve">  AUDIO (AUD)</t>
        </is>
      </c>
      <c r="C50" s="6" t="inlineStr">
        <is>
          <t xml:space="preserve">  Caixas, Subs, Mesas, Mics, DJs</t>
        </is>
      </c>
    </row>
    <row r="51" ht="28" customHeight="1">
      <c r="B51" s="28" t="inlineStr">
        <is>
          <t xml:space="preserve">  CABO (CAB)</t>
        </is>
      </c>
      <c r="C51" s="6" t="inlineStr">
        <is>
          <t xml:space="preserve">  XLR, DMX, P10, AC, HDMI, USB</t>
        </is>
      </c>
    </row>
    <row r="52" ht="28" customHeight="1">
      <c r="B52" s="29" t="inlineStr">
        <is>
          <t xml:space="preserve">  ENERGIA (ENE)</t>
        </is>
      </c>
      <c r="C52" s="6" t="inlineStr">
        <is>
          <t xml:space="preserve">  Reguas, Centopeias, Extensoes</t>
        </is>
      </c>
    </row>
    <row r="53" ht="28" customHeight="1">
      <c r="B53" s="30" t="inlineStr">
        <is>
          <t xml:space="preserve">  ESTRUTURA (EST)</t>
        </is>
      </c>
      <c r="C53" s="6" t="inlineStr">
        <is>
          <t xml:space="preserve">  Tripes, Box Truss, Praticaveis</t>
        </is>
      </c>
    </row>
    <row r="54" ht="28" customHeight="1">
      <c r="B54" s="31" t="inlineStr">
        <is>
          <t xml:space="preserve">  EFEITO (EFE)</t>
        </is>
      </c>
      <c r="C54" s="6" t="inlineStr">
        <is>
          <t xml:space="preserve">  Fumaca, Haze, CO2, Fluidos</t>
        </is>
      </c>
    </row>
    <row r="55" ht="28" customHeight="1">
      <c r="B55" s="32" t="inlineStr">
        <is>
          <t xml:space="preserve">  VIDEO (VID)</t>
        </is>
      </c>
      <c r="C55" s="6" t="inlineStr">
        <is>
          <t xml:space="preserve">  Projetores, Notebooks, Tablets</t>
        </is>
      </c>
    </row>
    <row r="56" ht="28" customHeight="1">
      <c r="B56" s="33" t="inlineStr">
        <is>
          <t xml:space="preserve">  ACESSORIO (ACE)</t>
        </is>
      </c>
      <c r="C56" s="6" t="inlineStr">
        <is>
          <t xml:space="preserve">  Cases, Ferramentas, Roteadores</t>
        </is>
      </c>
    </row>
    <row r="59" ht="18" customHeight="1">
      <c r="A59" s="34" t="inlineStr">
        <is>
          <t>MMD Eventos  |  Inventario Inteligente  |  03/04/2026</t>
        </is>
      </c>
    </row>
  </sheetData>
  <mergeCells count="25">
    <mergeCell ref="B7:C7"/>
    <mergeCell ref="B3:C3"/>
    <mergeCell ref="B46:C46"/>
    <mergeCell ref="B27:C27"/>
    <mergeCell ref="B43:C43"/>
    <mergeCell ref="B12:C12"/>
    <mergeCell ref="B39:C39"/>
    <mergeCell ref="B21:C21"/>
    <mergeCell ref="B2:C2"/>
    <mergeCell ref="B48:C48"/>
    <mergeCell ref="B42:C42"/>
    <mergeCell ref="B8:C8"/>
    <mergeCell ref="B38:C38"/>
    <mergeCell ref="B44:C44"/>
    <mergeCell ref="B34:C34"/>
    <mergeCell ref="B37:C37"/>
    <mergeCell ref="B10:C10"/>
    <mergeCell ref="B40:C40"/>
    <mergeCell ref="B9:C9"/>
    <mergeCell ref="A59:C59"/>
    <mergeCell ref="B6:C6"/>
    <mergeCell ref="B45:C45"/>
    <mergeCell ref="B36:C36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3" customWidth="1" min="9" max="9"/>
    <col width="18" customWidth="1" min="10" max="10"/>
    <col width="14" customWidth="1" min="11" max="11"/>
    <col width="14" customWidth="1" min="12" max="12"/>
    <col width="14" customWidth="1" min="13" max="13"/>
    <col hidden="1" width="13" customWidth="1" min="14" max="14"/>
    <col hidden="1" width="13" customWidth="1" min="24" max="24"/>
  </cols>
  <sheetData>
    <row r="1"/>
    <row r="2" ht="38" customHeight="1">
      <c r="B2" s="35" t="inlineStr">
        <is>
          <t>MMD EVENTOS</t>
        </is>
      </c>
    </row>
    <row r="3">
      <c r="B3" s="36" t="inlineStr">
        <is>
          <t>Inventario Inteligente  ·  03/04/2026</t>
        </is>
      </c>
    </row>
    <row r="4"/>
    <row r="5" ht="36" customHeight="1">
      <c r="B5" s="37" t="n">
        <v>519</v>
      </c>
      <c r="C5" s="38" t="n"/>
      <c r="D5" s="39" t="n">
        <v>511</v>
      </c>
      <c r="E5" s="38" t="n"/>
      <c r="F5" s="40" t="n">
        <v>0</v>
      </c>
      <c r="G5" s="38" t="n"/>
    </row>
    <row r="6" ht="16" customHeight="1">
      <c r="B6" s="41" t="inlineStr">
        <is>
          <t>TOTAL ITENS</t>
        </is>
      </c>
      <c r="C6" s="38" t="n"/>
      <c r="D6" s="41" t="inlineStr">
        <is>
          <t>DISPONIVEL</t>
        </is>
      </c>
      <c r="E6" s="38" t="n"/>
      <c r="F6" s="41" t="inlineStr">
        <is>
          <t>EM CAMPO</t>
        </is>
      </c>
      <c r="G6" s="38" t="n"/>
    </row>
    <row r="7" ht="4" customHeight="1">
      <c r="B7" s="42" t="n"/>
      <c r="C7" s="42" t="n"/>
      <c r="D7" s="42" t="n"/>
      <c r="E7" s="42" t="n"/>
      <c r="F7" s="42" t="n"/>
      <c r="G7" s="42" t="n"/>
    </row>
    <row r="8" ht="36" customHeight="1">
      <c r="B8" s="43" t="n">
        <v>0</v>
      </c>
      <c r="C8" s="38" t="n"/>
      <c r="D8" s="139" t="n">
        <v>796323.5</v>
      </c>
      <c r="E8" s="38" t="n"/>
      <c r="F8" s="140" t="n">
        <v>707348.99</v>
      </c>
      <c r="G8" s="38" t="n"/>
    </row>
    <row r="9" ht="16" customHeight="1">
      <c r="B9" s="41" t="inlineStr">
        <is>
          <t>MANUTENCAO</t>
        </is>
      </c>
      <c r="C9" s="38" t="n"/>
      <c r="D9" s="41" t="inlineStr">
        <is>
          <t>VALOR ORIGINAL</t>
        </is>
      </c>
      <c r="E9" s="38" t="n"/>
      <c r="F9" s="41" t="inlineStr">
        <is>
          <t>VALOR ATUAL</t>
        </is>
      </c>
      <c r="G9" s="38" t="n"/>
    </row>
    <row r="10" ht="4" customHeight="1">
      <c r="B10" s="42" t="n"/>
      <c r="C10" s="42" t="n"/>
      <c r="D10" s="42" t="n"/>
      <c r="E10" s="42" t="n"/>
      <c r="F10" s="42" t="n"/>
      <c r="G10" s="42" t="n"/>
    </row>
    <row r="11">
      <c r="B11" s="46" t="inlineStr">
        <is>
          <t>SAUDE DO PATRIMONIO</t>
        </is>
      </c>
    </row>
    <row r="12" ht="30" customHeight="1">
      <c r="B12" s="47" t="inlineStr">
        <is>
          <t>★★☆☆☆</t>
        </is>
      </c>
      <c r="C12" s="48" t="n">
        <v>291</v>
      </c>
      <c r="D12" s="49" t="inlineStr">
        <is>
          <t>11%</t>
        </is>
      </c>
      <c r="E12" s="50" t="n">
        <v>152</v>
      </c>
    </row>
    <row r="13" ht="16" customHeight="1">
      <c r="B13" s="51" t="inlineStr">
        <is>
          <t>DESGASTE</t>
        </is>
      </c>
      <c r="C13" s="51" t="inlineStr">
        <is>
          <t>CRITICOS</t>
        </is>
      </c>
      <c r="D13" s="51" t="inlineStr">
        <is>
          <t>DEPREC.</t>
        </is>
      </c>
      <c r="E13" s="51" t="inlineStr">
        <is>
          <t>LOTES</t>
        </is>
      </c>
    </row>
    <row r="15">
      <c r="B15" s="46" t="inlineStr">
        <is>
          <t>POR CATEGORIA</t>
        </is>
      </c>
    </row>
    <row r="16" ht="26" customHeight="1">
      <c r="B16" s="52" t="inlineStr">
        <is>
          <t>Categoria</t>
        </is>
      </c>
      <c r="C16" s="52" t="inlineStr">
        <is>
          <t>Qtd</t>
        </is>
      </c>
      <c r="D16" s="52" t="inlineStr">
        <is>
          <t>Valor Orig.</t>
        </is>
      </c>
      <c r="E16" s="52" t="inlineStr">
        <is>
          <t>Valor Atual</t>
        </is>
      </c>
      <c r="F16" s="52" t="inlineStr">
        <is>
          <t>% Patr.</t>
        </is>
      </c>
    </row>
    <row r="17">
      <c r="A17" s="53" t="n"/>
      <c r="B17" s="54" t="inlineStr">
        <is>
          <t>ILUMINACAO</t>
        </is>
      </c>
      <c r="C17" s="53" t="n">
        <v>270</v>
      </c>
      <c r="D17" s="141" t="n">
        <v>246366.48</v>
      </c>
      <c r="E17" s="146" t="n">
        <v>198692.34</v>
      </c>
      <c r="F17" s="147" t="n">
        <v>0.30937989397525</v>
      </c>
      <c r="N17" t="inlineStr">
        <is>
          <t>ILUMINACAO R$ 70.942</t>
        </is>
      </c>
      <c r="X17" t="inlineStr">
        <is>
          <t>ILUMINACAO
R$ 246.366,48</t>
        </is>
      </c>
    </row>
    <row r="18">
      <c r="A18" s="58" t="n"/>
      <c r="B18" s="59" t="inlineStr">
        <is>
          <t>AUDIO</t>
        </is>
      </c>
      <c r="C18" s="58" t="n">
        <v>125</v>
      </c>
      <c r="D18" s="142" t="n">
        <v>446936.35</v>
      </c>
      <c r="E18" s="148" t="n">
        <v>408059.94</v>
      </c>
      <c r="F18" s="149" t="n">
        <v>0.5612497307940805</v>
      </c>
      <c r="N18" t="inlineStr">
        <is>
          <t>AUDIO R$ 292.151</t>
        </is>
      </c>
      <c r="X18" t="inlineStr">
        <is>
          <t>AUDIO
R$ 446.936,35</t>
        </is>
      </c>
    </row>
    <row r="19">
      <c r="A19" s="53" t="n"/>
      <c r="B19" s="63" t="inlineStr">
        <is>
          <t>ENERGIA</t>
        </is>
      </c>
      <c r="C19" s="53" t="n">
        <v>27</v>
      </c>
      <c r="D19" s="141" t="n">
        <v>5785.73</v>
      </c>
      <c r="E19" s="146" t="n">
        <v>4877.84</v>
      </c>
      <c r="F19" s="147" t="n">
        <v>0.007265552253575337</v>
      </c>
      <c r="N19" t="inlineStr">
        <is>
          <t>CABO R$ 0</t>
        </is>
      </c>
      <c r="X19" t="inlineStr">
        <is>
          <t>ENERGIA
R$ 5.785,73</t>
        </is>
      </c>
    </row>
    <row r="20">
      <c r="A20" s="58" t="n"/>
      <c r="B20" s="64" t="inlineStr">
        <is>
          <t>ESTRUTURA</t>
        </is>
      </c>
      <c r="C20" s="58" t="n">
        <v>43</v>
      </c>
      <c r="D20" s="142" t="n">
        <v>17629.93</v>
      </c>
      <c r="E20" s="148" t="n">
        <v>14934.46</v>
      </c>
      <c r="F20" s="149" t="n">
        <v>0.02213915575767888</v>
      </c>
      <c r="N20" t="inlineStr">
        <is>
          <t>ENERGIA R$ 13.125</t>
        </is>
      </c>
      <c r="X20" t="inlineStr">
        <is>
          <t>ESTRUTURA
R$ 17.629,93</t>
        </is>
      </c>
    </row>
    <row r="21">
      <c r="A21" s="53" t="n"/>
      <c r="B21" s="65" t="inlineStr">
        <is>
          <t>EFEITO</t>
        </is>
      </c>
      <c r="C21" s="53" t="n">
        <v>13</v>
      </c>
      <c r="D21" s="141" t="n">
        <v>8441</v>
      </c>
      <c r="E21" s="146" t="n">
        <v>8349.15</v>
      </c>
      <c r="F21" s="147" t="n">
        <v>0.01059996345706236</v>
      </c>
      <c r="N21" t="inlineStr">
        <is>
          <t>ESTRUTURA R$ 22.268</t>
        </is>
      </c>
      <c r="X21" t="inlineStr">
        <is>
          <t>EFEITO
R$ 8.441,00</t>
        </is>
      </c>
    </row>
    <row r="22">
      <c r="A22" s="58" t="n"/>
      <c r="B22" s="66" t="inlineStr">
        <is>
          <t>VIDEO</t>
        </is>
      </c>
      <c r="C22" s="58" t="n">
        <v>9</v>
      </c>
      <c r="D22" s="142" t="n">
        <v>13022.82</v>
      </c>
      <c r="E22" s="148" t="n">
        <v>15008.87</v>
      </c>
      <c r="F22" s="149" t="n">
        <v>0.0163536803824074</v>
      </c>
      <c r="N22" t="inlineStr">
        <is>
          <t>EFEITO R$ 2.195</t>
        </is>
      </c>
      <c r="X22" t="inlineStr">
        <is>
          <t>VIDEO
R$ 13.022,82</t>
        </is>
      </c>
    </row>
    <row r="23">
      <c r="A23" s="53" t="n"/>
      <c r="B23" s="67" t="inlineStr">
        <is>
          <t>ACESSORIO</t>
        </is>
      </c>
      <c r="C23" s="53" t="n">
        <v>24</v>
      </c>
      <c r="D23" s="141" t="n">
        <v>34050.41</v>
      </c>
      <c r="E23" s="146" t="n">
        <v>33648.96</v>
      </c>
      <c r="F23" s="147" t="n">
        <v>0.04275951921549472</v>
      </c>
      <c r="N23" t="inlineStr">
        <is>
          <t>VIDEO R$ 4.949</t>
        </is>
      </c>
      <c r="X23" t="inlineStr">
        <is>
          <t>ACESSORIO
R$ 34.050,41</t>
        </is>
      </c>
    </row>
    <row r="24">
      <c r="A24" s="58" t="n"/>
      <c r="B24" s="68" t="inlineStr">
        <is>
          <t>FORA DE OPERACAO</t>
        </is>
      </c>
      <c r="C24" s="58" t="n">
        <v>8</v>
      </c>
      <c r="D24" s="142" t="n">
        <v>24090.78</v>
      </c>
      <c r="E24" s="148" t="n">
        <v>23777.43</v>
      </c>
      <c r="F24" s="149" t="n">
        <v>0.03025250416445075</v>
      </c>
      <c r="N24" t="inlineStr">
        <is>
          <t>ACESSORIO R$ 17.691</t>
        </is>
      </c>
      <c r="X24" t="inlineStr">
        <is>
          <t>FORA DE OPERACAO
R$ 24.090,78</t>
        </is>
      </c>
    </row>
    <row r="26">
      <c r="B26" s="46" t="inlineStr">
        <is>
          <t>POR STATUS</t>
        </is>
      </c>
    </row>
    <row r="27" ht="26" customHeight="1">
      <c r="B27" s="52" t="inlineStr">
        <is>
          <t>Status</t>
        </is>
      </c>
      <c r="C27" s="52" t="inlineStr">
        <is>
          <t>Qtd</t>
        </is>
      </c>
      <c r="D27" s="52" t="inlineStr">
        <is>
          <t>%</t>
        </is>
      </c>
    </row>
    <row r="28">
      <c r="B28" s="69" t="inlineStr">
        <is>
          <t>DISPONIVEL</t>
        </is>
      </c>
      <c r="C28" s="70" t="n">
        <v>511</v>
      </c>
      <c r="D28" s="150" t="n">
        <v>0.9845857418111753</v>
      </c>
    </row>
    <row r="29">
      <c r="B29" s="72" t="inlineStr">
        <is>
          <t>EM_CAMPO</t>
        </is>
      </c>
      <c r="C29" s="70" t="n">
        <v>0</v>
      </c>
      <c r="D29" s="150" t="n">
        <v>0</v>
      </c>
    </row>
    <row r="30">
      <c r="B30" s="73" t="inlineStr">
        <is>
          <t>PACKED</t>
        </is>
      </c>
      <c r="C30" s="70" t="n">
        <v>0</v>
      </c>
      <c r="D30" s="150" t="n">
        <v>0</v>
      </c>
    </row>
    <row r="31">
      <c r="B31" s="74" t="inlineStr">
        <is>
          <t>MANUTENCAO</t>
        </is>
      </c>
      <c r="C31" s="70" t="n">
        <v>0</v>
      </c>
      <c r="D31" s="150" t="n">
        <v>0</v>
      </c>
    </row>
    <row r="33">
      <c r="B33" s="46" t="inlineStr">
        <is>
          <t>TOP 10 MAIS VALIOSOS</t>
        </is>
      </c>
    </row>
    <row r="34" ht="26" customHeight="1">
      <c r="B34" s="52" t="inlineStr">
        <is>
          <t>Nome</t>
        </is>
      </c>
      <c r="C34" s="52" t="inlineStr">
        <is>
          <t>Categoria</t>
        </is>
      </c>
      <c r="D34" s="52" t="inlineStr">
        <is>
          <t>Valor (R$)</t>
        </is>
      </c>
      <c r="E34" s="52" t="inlineStr">
        <is>
          <t>Desgaste</t>
        </is>
      </c>
      <c r="F34" s="52" t="inlineStr">
        <is>
          <t>Valor Atual</t>
        </is>
      </c>
    </row>
    <row r="35">
      <c r="A35" s="58" t="n"/>
      <c r="B35" s="75" t="inlineStr">
        <is>
          <t>XDJ-XZ PIONEER</t>
        </is>
      </c>
      <c r="C35" s="76" t="inlineStr">
        <is>
          <t>AUDIO</t>
        </is>
      </c>
      <c r="D35" s="142" t="n">
        <v>22499.99</v>
      </c>
      <c r="E35" s="77" t="inlineStr">
        <is>
          <t>★★★★☆</t>
        </is>
      </c>
      <c r="F35" s="151" t="n">
        <v>15900</v>
      </c>
    </row>
    <row r="36">
      <c r="A36" s="53" t="n"/>
      <c r="B36" s="79" t="inlineStr">
        <is>
          <t>8003-AS II 2200W</t>
        </is>
      </c>
      <c r="C36" s="80" t="inlineStr">
        <is>
          <t>AUDIO</t>
        </is>
      </c>
      <c r="D36" s="141" t="n">
        <v>19990</v>
      </c>
      <c r="E36" s="77" t="inlineStr">
        <is>
          <t>★★★★☆</t>
        </is>
      </c>
      <c r="F36" s="152" t="n">
        <v>26246</v>
      </c>
    </row>
    <row r="37">
      <c r="A37" s="58" t="n"/>
      <c r="B37" s="75" t="inlineStr">
        <is>
          <t>XDJ-RR PIONEER</t>
        </is>
      </c>
      <c r="C37" s="76" t="inlineStr">
        <is>
          <t>AUDIO</t>
        </is>
      </c>
      <c r="D37" s="142" t="n">
        <v>13997</v>
      </c>
      <c r="E37" s="77" t="inlineStr">
        <is>
          <t>★★★★☆</t>
        </is>
      </c>
      <c r="F37" s="151" t="n">
        <v>11319</v>
      </c>
    </row>
    <row r="38">
      <c r="A38" s="53" t="n"/>
      <c r="B38" s="79" t="inlineStr">
        <is>
          <t>KW181</t>
        </is>
      </c>
      <c r="C38" s="80" t="inlineStr">
        <is>
          <t>AUDIO</t>
        </is>
      </c>
      <c r="D38" s="141" t="n">
        <v>13500</v>
      </c>
      <c r="E38" s="77" t="inlineStr">
        <is>
          <t>★★★★☆</t>
        </is>
      </c>
      <c r="F38" s="152" t="n">
        <v>13500</v>
      </c>
    </row>
    <row r="39">
      <c r="A39" s="58" t="n"/>
      <c r="B39" s="75" t="inlineStr">
        <is>
          <t>X32 RACK</t>
        </is>
      </c>
      <c r="C39" s="76" t="inlineStr">
        <is>
          <t>AUDIO</t>
        </is>
      </c>
      <c r="D39" s="142" t="n">
        <v>12900</v>
      </c>
      <c r="E39" s="82" t="inlineStr">
        <is>
          <t>★★★☆☆</t>
        </is>
      </c>
      <c r="F39" s="151" t="n">
        <v>10490</v>
      </c>
    </row>
    <row r="40">
      <c r="A40" s="53" t="n"/>
      <c r="B40" s="79" t="inlineStr">
        <is>
          <t>K12.2</t>
        </is>
      </c>
      <c r="C40" s="80" t="inlineStr">
        <is>
          <t>AUDIO</t>
        </is>
      </c>
      <c r="D40" s="141" t="n">
        <v>12530</v>
      </c>
      <c r="E40" s="77" t="inlineStr">
        <is>
          <t>★★★☆☆</t>
        </is>
      </c>
      <c r="F40" s="152" t="n">
        <v>8990</v>
      </c>
    </row>
    <row r="41">
      <c r="A41" s="58" t="n"/>
      <c r="B41" s="75" t="inlineStr">
        <is>
          <t>K12.2</t>
        </is>
      </c>
      <c r="C41" s="76" t="inlineStr">
        <is>
          <t>AUDIO</t>
        </is>
      </c>
      <c r="D41" s="142" t="n">
        <v>12530</v>
      </c>
      <c r="E41" s="77" t="inlineStr">
        <is>
          <t>★★★★☆</t>
        </is>
      </c>
      <c r="F41" s="151" t="n">
        <v>8990</v>
      </c>
    </row>
    <row r="42">
      <c r="A42" s="53" t="n"/>
      <c r="B42" s="79" t="inlineStr">
        <is>
          <t>K12.2</t>
        </is>
      </c>
      <c r="C42" s="80" t="inlineStr">
        <is>
          <t>AUDIO</t>
        </is>
      </c>
      <c r="D42" s="141" t="n">
        <v>12530</v>
      </c>
      <c r="E42" s="77" t="inlineStr">
        <is>
          <t>★★★★☆</t>
        </is>
      </c>
      <c r="F42" s="152" t="n">
        <v>8990</v>
      </c>
    </row>
    <row r="43">
      <c r="A43" s="58" t="n"/>
      <c r="B43" s="75" t="inlineStr">
        <is>
          <t>K12.2</t>
        </is>
      </c>
      <c r="C43" s="76" t="inlineStr">
        <is>
          <t>AUDIO</t>
        </is>
      </c>
      <c r="D43" s="142" t="n">
        <v>12530</v>
      </c>
      <c r="E43" s="77" t="inlineStr">
        <is>
          <t>★★★★☆</t>
        </is>
      </c>
      <c r="F43" s="151" t="n">
        <v>8990</v>
      </c>
    </row>
    <row r="44">
      <c r="A44" s="53" t="n"/>
      <c r="B44" s="79" t="inlineStr">
        <is>
          <t>K12.2</t>
        </is>
      </c>
      <c r="C44" s="80" t="inlineStr">
        <is>
          <t>AUDIO</t>
        </is>
      </c>
      <c r="D44" s="141" t="n">
        <v>12530</v>
      </c>
      <c r="E44" s="77" t="inlineStr">
        <is>
          <t>★★★★☆</t>
        </is>
      </c>
      <c r="F44" s="152" t="n">
        <v>8990</v>
      </c>
    </row>
    <row r="46">
      <c r="B46" s="46" t="inlineStr">
        <is>
          <t>PERDA PATRIMONIAL POR CATEGORIA</t>
        </is>
      </c>
    </row>
    <row r="47" ht="26" customHeight="1">
      <c r="B47" s="52" t="inlineStr">
        <is>
          <t>Categoria</t>
        </is>
      </c>
      <c r="C47" s="52" t="inlineStr">
        <is>
          <t>Perda (R$)</t>
        </is>
      </c>
      <c r="D47" s="52" t="inlineStr">
        <is>
          <t>Deprec.%</t>
        </is>
      </c>
    </row>
    <row r="48">
      <c r="A48" s="58" t="n"/>
      <c r="B48" s="59" t="inlineStr">
        <is>
          <t>AUDIO</t>
        </is>
      </c>
      <c r="C48" s="83" t="n">
        <v>324703.8499999982</v>
      </c>
      <c r="D48" s="84" t="n">
        <v>0.5263865431840391</v>
      </c>
    </row>
    <row r="49">
      <c r="A49" s="53" t="n"/>
      <c r="B49" s="54" t="inlineStr">
        <is>
          <t>ILUMINACAO</t>
        </is>
      </c>
      <c r="C49" s="85" t="n">
        <v>196709.08</v>
      </c>
      <c r="D49" s="86" t="n">
        <v>0.7349462073725188</v>
      </c>
    </row>
    <row r="50">
      <c r="A50" s="58" t="n"/>
      <c r="B50" s="87" t="inlineStr">
        <is>
          <t>ESTRUTURA</t>
        </is>
      </c>
      <c r="C50" s="83" t="n">
        <v>34829.8</v>
      </c>
      <c r="D50" s="84" t="n">
        <v>0.6100003502749658</v>
      </c>
    </row>
    <row r="51">
      <c r="A51" s="53" t="n"/>
      <c r="B51" s="88" t="inlineStr">
        <is>
          <t>ACESSORIO</t>
        </is>
      </c>
      <c r="C51" s="85" t="n">
        <v>32260.4</v>
      </c>
      <c r="D51" s="86" t="n">
        <v>0.6458367866955268</v>
      </c>
    </row>
    <row r="52">
      <c r="A52" s="58" t="n"/>
      <c r="B52" s="64" t="inlineStr">
        <is>
          <t>ENERGIA</t>
        </is>
      </c>
      <c r="C52" s="83" t="n">
        <v>20529.55</v>
      </c>
      <c r="D52" s="84" t="n">
        <v>0.6100000000000001</v>
      </c>
    </row>
    <row r="53">
      <c r="A53" s="53" t="n"/>
      <c r="B53" s="67" t="inlineStr">
        <is>
          <t>VIDEO</t>
        </is>
      </c>
      <c r="C53" s="85" t="n">
        <v>7740.900000000001</v>
      </c>
      <c r="D53" s="86" t="n">
        <v>0.6100000000000001</v>
      </c>
    </row>
    <row r="54">
      <c r="A54" s="58" t="n"/>
      <c r="B54" s="66" t="inlineStr">
        <is>
          <t>EFEITO</t>
        </is>
      </c>
      <c r="C54" s="83" t="n">
        <v>6246.34</v>
      </c>
      <c r="D54" s="84" t="n">
        <v>0.74</v>
      </c>
    </row>
    <row r="55">
      <c r="A55" s="53" t="n"/>
      <c r="B55" s="63" t="inlineStr">
        <is>
          <t>CABO</t>
        </is>
      </c>
      <c r="C55" s="85" t="n">
        <v>0</v>
      </c>
      <c r="D55" s="86" t="n">
        <v>0</v>
      </c>
    </row>
    <row r="58" ht="18" customHeight="1">
      <c r="A58" s="34" t="inlineStr">
        <is>
          <t>MMD Eventos  |  Inventario Inteligente  |  03/04/2026</t>
        </is>
      </c>
    </row>
  </sheetData>
  <mergeCells count="16">
    <mergeCell ref="B3:G3"/>
    <mergeCell ref="B2:G2"/>
    <mergeCell ref="B6:C6"/>
    <mergeCell ref="D8:E8"/>
    <mergeCell ref="D6:E6"/>
    <mergeCell ref="A58:G58"/>
    <mergeCell ref="B5:C5"/>
    <mergeCell ref="F5:G5"/>
    <mergeCell ref="D5:E5"/>
    <mergeCell ref="F6:G6"/>
    <mergeCell ref="B9:C9"/>
    <mergeCell ref="D9:E9"/>
    <mergeCell ref="B8:C8"/>
    <mergeCell ref="F9:G9"/>
    <mergeCell ref="B11:G11"/>
    <mergeCell ref="F8:G8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M2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22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0" customWidth="1" min="12" max="12"/>
    <col width="36" customWidth="1" min="13" max="13"/>
  </cols>
  <sheetData>
    <row r="1" ht="38" customHeight="1">
      <c r="A1" s="89" t="inlineStr">
        <is>
          <t>ILUMINACAO  —  Par LED, Ribalta, Moving, Strobo, Laser</t>
        </is>
      </c>
    </row>
    <row r="2" ht="22" customHeight="1">
      <c r="A2" s="90" t="inlineStr">
        <is>
          <t>270 itens   |   Valor: R$ 246.366,48   |   Desgaste medio: 2,0/5</t>
        </is>
      </c>
    </row>
    <row r="3" ht="6" customHeight="1"/>
    <row r="4" ht="28" customHeight="1">
      <c r="A4" s="91" t="inlineStr">
        <is>
          <t>Codigo</t>
        </is>
      </c>
      <c r="B4" s="91" t="inlineStr">
        <is>
          <t>Nome</t>
        </is>
      </c>
      <c r="C4" s="91" t="inlineStr">
        <is>
          <t>Marca</t>
        </is>
      </c>
      <c r="D4" s="91" t="inlineStr">
        <is>
          <t>Subcategoria</t>
        </is>
      </c>
      <c r="E4" s="91" t="inlineStr">
        <is>
          <t>Serial Fab.</t>
        </is>
      </c>
      <c r="F4" s="91" t="inlineStr">
        <is>
          <t>Tag RFID</t>
        </is>
      </c>
      <c r="G4" s="91" t="inlineStr">
        <is>
          <t>Status</t>
        </is>
      </c>
      <c r="H4" s="91" t="inlineStr">
        <is>
          <t>Estado</t>
        </is>
      </c>
      <c r="I4" s="91" t="inlineStr">
        <is>
          <t>Desgaste</t>
        </is>
      </c>
      <c r="J4" s="91" t="inlineStr">
        <is>
          <t>Valor Original</t>
        </is>
      </c>
      <c r="K4" s="91" t="inlineStr">
        <is>
          <t>Valor Atual</t>
        </is>
      </c>
      <c r="L4" s="91" t="inlineStr">
        <is>
          <t>Deprec.%</t>
        </is>
      </c>
      <c r="M4" s="91" t="inlineStr">
        <is>
          <t>Notas</t>
        </is>
      </c>
    </row>
    <row r="5" ht="24" customHeight="1">
      <c r="A5" s="92" t="inlineStr">
        <is>
          <t xml:space="preserve">  5R  (6)</t>
        </is>
      </c>
    </row>
    <row r="6" ht="22" customHeight="1">
      <c r="A6" s="94" t="inlineStr">
        <is>
          <t>MMD-ILU-0065</t>
        </is>
      </c>
      <c r="B6" s="75" t="inlineStr">
        <is>
          <t>ST-135BY-CS</t>
        </is>
      </c>
      <c r="C6" s="58" t="inlineStr">
        <is>
          <t>Showtech</t>
        </is>
      </c>
      <c r="D6" s="58" t="inlineStr">
        <is>
          <t>5R</t>
        </is>
      </c>
      <c r="E6" s="58" t="inlineStr"/>
      <c r="F6" s="58" t="inlineStr"/>
      <c r="G6" s="58" t="inlineStr">
        <is>
          <t>DISPONIVEL</t>
        </is>
      </c>
      <c r="H6" s="58" t="inlineStr">
        <is>
          <t>USADO</t>
        </is>
      </c>
      <c r="I6" s="95" t="inlineStr">
        <is>
          <t>★★☆☆☆</t>
        </is>
      </c>
      <c r="J6" s="142" t="n">
        <v>950</v>
      </c>
      <c r="K6" s="143" t="n">
        <v>875</v>
      </c>
      <c r="L6" s="98">
        <f>IF(J6&gt;0,(J6-K6)/J6,"")</f>
        <v/>
      </c>
      <c r="M6" s="99" t="inlineStr"/>
    </row>
    <row r="7" ht="22" customHeight="1">
      <c r="A7" s="54" t="inlineStr">
        <is>
          <t>MMD-ILU-0066</t>
        </is>
      </c>
      <c r="B7" s="79" t="inlineStr">
        <is>
          <t>ST-135BY-CS</t>
        </is>
      </c>
      <c r="C7" s="53" t="inlineStr">
        <is>
          <t>Showtech</t>
        </is>
      </c>
      <c r="D7" s="53" t="inlineStr">
        <is>
          <t>5R</t>
        </is>
      </c>
      <c r="E7" s="53" t="inlineStr"/>
      <c r="F7" s="53" t="inlineStr"/>
      <c r="G7" s="53" t="inlineStr">
        <is>
          <t>DISPONIVEL</t>
        </is>
      </c>
      <c r="H7" s="53" t="inlineStr">
        <is>
          <t>USADO</t>
        </is>
      </c>
      <c r="I7" s="95" t="inlineStr">
        <is>
          <t>★★☆☆☆</t>
        </is>
      </c>
      <c r="J7" s="141" t="n">
        <v>950</v>
      </c>
      <c r="K7" s="143" t="n">
        <v>875</v>
      </c>
      <c r="L7" s="101">
        <f>IF(J7&gt;0,(J7-K7)/J7,"")</f>
        <v/>
      </c>
      <c r="M7" s="102" t="inlineStr"/>
    </row>
    <row r="8" ht="22" customHeight="1">
      <c r="A8" s="94" t="inlineStr">
        <is>
          <t>MMD-ILU-0142</t>
        </is>
      </c>
      <c r="B8" s="75" t="inlineStr">
        <is>
          <t>ST-135BY-CS</t>
        </is>
      </c>
      <c r="C8" s="58" t="inlineStr">
        <is>
          <t>Showtech</t>
        </is>
      </c>
      <c r="D8" s="58" t="inlineStr">
        <is>
          <t>5R</t>
        </is>
      </c>
      <c r="E8" s="58" t="inlineStr"/>
      <c r="F8" s="58" t="inlineStr"/>
      <c r="G8" s="58" t="inlineStr">
        <is>
          <t>DISPONIVEL</t>
        </is>
      </c>
      <c r="H8" s="58" t="inlineStr">
        <is>
          <t>USADO</t>
        </is>
      </c>
      <c r="I8" s="95" t="inlineStr">
        <is>
          <t>★★☆☆☆</t>
        </is>
      </c>
      <c r="J8" s="142" t="n">
        <v>950</v>
      </c>
      <c r="K8" s="143" t="n">
        <v>875</v>
      </c>
      <c r="L8" s="98">
        <f>IF(J8&gt;0,(J8-K8)/J8,"")</f>
        <v/>
      </c>
      <c r="M8" s="99" t="inlineStr"/>
    </row>
    <row r="9" ht="22" customHeight="1">
      <c r="A9" s="54" t="inlineStr">
        <is>
          <t>MMD-ILU-0143</t>
        </is>
      </c>
      <c r="B9" s="79" t="inlineStr">
        <is>
          <t>ST-135BY-CS</t>
        </is>
      </c>
      <c r="C9" s="53" t="inlineStr">
        <is>
          <t>Showtech</t>
        </is>
      </c>
      <c r="D9" s="53" t="inlineStr">
        <is>
          <t>5R</t>
        </is>
      </c>
      <c r="E9" s="53" t="inlineStr"/>
      <c r="F9" s="53" t="inlineStr"/>
      <c r="G9" s="53" t="inlineStr">
        <is>
          <t>DISPONIVEL</t>
        </is>
      </c>
      <c r="H9" s="53" t="inlineStr">
        <is>
          <t>USADO</t>
        </is>
      </c>
      <c r="I9" s="95" t="inlineStr">
        <is>
          <t>★★☆☆☆</t>
        </is>
      </c>
      <c r="J9" s="141" t="n">
        <v>950</v>
      </c>
      <c r="K9" s="143" t="n">
        <v>875</v>
      </c>
      <c r="L9" s="101">
        <f>IF(J9&gt;0,(J9-K9)/J9,"")</f>
        <v/>
      </c>
      <c r="M9" s="102" t="inlineStr"/>
    </row>
    <row r="10" ht="22" customHeight="1">
      <c r="A10" s="94" t="inlineStr">
        <is>
          <t>MMD-ILU-0144</t>
        </is>
      </c>
      <c r="B10" s="75" t="inlineStr">
        <is>
          <t>ST-135BY-CS</t>
        </is>
      </c>
      <c r="C10" s="58" t="inlineStr">
        <is>
          <t>Showtech</t>
        </is>
      </c>
      <c r="D10" s="58" t="inlineStr">
        <is>
          <t>5R</t>
        </is>
      </c>
      <c r="E10" s="58" t="inlineStr"/>
      <c r="F10" s="58" t="inlineStr"/>
      <c r="G10" s="58" t="inlineStr">
        <is>
          <t>DISPONIVEL</t>
        </is>
      </c>
      <c r="H10" s="58" t="inlineStr">
        <is>
          <t>USADO</t>
        </is>
      </c>
      <c r="I10" s="95" t="inlineStr">
        <is>
          <t>★★☆☆☆</t>
        </is>
      </c>
      <c r="J10" s="142" t="n">
        <v>950</v>
      </c>
      <c r="K10" s="143" t="n">
        <v>875</v>
      </c>
      <c r="L10" s="98">
        <f>IF(J10&gt;0,(J10-K10)/J10,"")</f>
        <v/>
      </c>
      <c r="M10" s="99" t="inlineStr"/>
    </row>
    <row r="11" ht="22" customHeight="1">
      <c r="A11" s="54" t="inlineStr">
        <is>
          <t>MMD-ILU-0145</t>
        </is>
      </c>
      <c r="B11" s="79" t="inlineStr">
        <is>
          <t>ST-135BY-CS</t>
        </is>
      </c>
      <c r="C11" s="53" t="inlineStr">
        <is>
          <t>Showtech</t>
        </is>
      </c>
      <c r="D11" s="53" t="inlineStr">
        <is>
          <t>5R</t>
        </is>
      </c>
      <c r="E11" s="53" t="inlineStr"/>
      <c r="F11" s="53" t="inlineStr"/>
      <c r="G11" s="53" t="inlineStr">
        <is>
          <t>DISPONIVEL</t>
        </is>
      </c>
      <c r="H11" s="53" t="inlineStr">
        <is>
          <t>USADO</t>
        </is>
      </c>
      <c r="I11" s="95" t="inlineStr">
        <is>
          <t>★★☆☆☆</t>
        </is>
      </c>
      <c r="J11" s="141" t="n">
        <v>950</v>
      </c>
      <c r="K11" s="143" t="n">
        <v>875</v>
      </c>
      <c r="L11" s="101">
        <f>IF(J11&gt;0,(J11-K11)/J11,"")</f>
        <v/>
      </c>
      <c r="M11" s="102" t="inlineStr"/>
    </row>
    <row r="12" ht="24" customHeight="1">
      <c r="A12" s="92" t="inlineStr">
        <is>
          <t xml:space="preserve">  9R  (10)</t>
        </is>
      </c>
    </row>
    <row r="13" ht="22" customHeight="1">
      <c r="A13" s="94" t="inlineStr">
        <is>
          <t>MMD-ILU-0146</t>
        </is>
      </c>
      <c r="B13" s="75" t="inlineStr">
        <is>
          <t>ST-X251LAY</t>
        </is>
      </c>
      <c r="C13" s="58" t="inlineStr">
        <is>
          <t>Showtech</t>
        </is>
      </c>
      <c r="D13" s="58" t="inlineStr">
        <is>
          <t>9R</t>
        </is>
      </c>
      <c r="E13" s="58" t="inlineStr"/>
      <c r="F13" s="58" t="inlineStr"/>
      <c r="G13" s="58" t="inlineStr">
        <is>
          <t>DISPONIVEL</t>
        </is>
      </c>
      <c r="H13" s="58" t="inlineStr">
        <is>
          <t>USADO</t>
        </is>
      </c>
      <c r="I13" s="95" t="inlineStr">
        <is>
          <t>★★☆☆☆</t>
        </is>
      </c>
      <c r="J13" s="142" t="n">
        <v>4590</v>
      </c>
      <c r="K13" s="143" t="n">
        <v>2500</v>
      </c>
      <c r="L13" s="98">
        <f>IF(J13&gt;0,(J13-K13)/J13,"")</f>
        <v/>
      </c>
      <c r="M13" s="99" t="inlineStr"/>
    </row>
    <row r="14" ht="22" customHeight="1">
      <c r="A14" s="54" t="inlineStr">
        <is>
          <t>MMD-ILU-0147</t>
        </is>
      </c>
      <c r="B14" s="79" t="inlineStr">
        <is>
          <t>ST-X251LAY</t>
        </is>
      </c>
      <c r="C14" s="53" t="inlineStr">
        <is>
          <t>Showtech</t>
        </is>
      </c>
      <c r="D14" s="53" t="inlineStr">
        <is>
          <t>9R</t>
        </is>
      </c>
      <c r="E14" s="53" t="inlineStr"/>
      <c r="F14" s="53" t="inlineStr"/>
      <c r="G14" s="53" t="inlineStr">
        <is>
          <t>DISPONIVEL</t>
        </is>
      </c>
      <c r="H14" s="53" t="inlineStr">
        <is>
          <t>USADO</t>
        </is>
      </c>
      <c r="I14" s="95" t="inlineStr">
        <is>
          <t>★★☆☆☆</t>
        </is>
      </c>
      <c r="J14" s="141" t="n">
        <v>4590</v>
      </c>
      <c r="K14" s="143" t="n">
        <v>2500</v>
      </c>
      <c r="L14" s="101">
        <f>IF(J14&gt;0,(J14-K14)/J14,"")</f>
        <v/>
      </c>
      <c r="M14" s="102" t="inlineStr"/>
    </row>
    <row r="15" ht="22" customHeight="1">
      <c r="A15" s="94" t="inlineStr">
        <is>
          <t>MMD-ILU-0148</t>
        </is>
      </c>
      <c r="B15" s="75" t="inlineStr">
        <is>
          <t>ST-X251LAY</t>
        </is>
      </c>
      <c r="C15" s="58" t="inlineStr">
        <is>
          <t>Showtech</t>
        </is>
      </c>
      <c r="D15" s="58" t="inlineStr">
        <is>
          <t>9R</t>
        </is>
      </c>
      <c r="E15" s="58" t="inlineStr"/>
      <c r="F15" s="58" t="inlineStr"/>
      <c r="G15" s="58" t="inlineStr">
        <is>
          <t>DISPONIVEL</t>
        </is>
      </c>
      <c r="H15" s="58" t="inlineStr">
        <is>
          <t>USADO</t>
        </is>
      </c>
      <c r="I15" s="95" t="inlineStr">
        <is>
          <t>★★☆☆☆</t>
        </is>
      </c>
      <c r="J15" s="142" t="n">
        <v>4590</v>
      </c>
      <c r="K15" s="143" t="n">
        <v>2500</v>
      </c>
      <c r="L15" s="98">
        <f>IF(J15&gt;0,(J15-K15)/J15,"")</f>
        <v/>
      </c>
      <c r="M15" s="99" t="inlineStr"/>
    </row>
    <row r="16" ht="22" customHeight="1">
      <c r="A16" s="54" t="inlineStr">
        <is>
          <t>MMD-ILU-0149</t>
        </is>
      </c>
      <c r="B16" s="79" t="inlineStr">
        <is>
          <t>ST-X251LAY</t>
        </is>
      </c>
      <c r="C16" s="53" t="inlineStr">
        <is>
          <t>Showtech</t>
        </is>
      </c>
      <c r="D16" s="53" t="inlineStr">
        <is>
          <t>9R</t>
        </is>
      </c>
      <c r="E16" s="53" t="inlineStr"/>
      <c r="F16" s="53" t="inlineStr"/>
      <c r="G16" s="53" t="inlineStr">
        <is>
          <t>DISPONIVEL</t>
        </is>
      </c>
      <c r="H16" s="53" t="inlineStr">
        <is>
          <t>USADO</t>
        </is>
      </c>
      <c r="I16" s="95" t="inlineStr">
        <is>
          <t>★★☆☆☆</t>
        </is>
      </c>
      <c r="J16" s="141" t="n">
        <v>4590</v>
      </c>
      <c r="K16" s="143" t="n">
        <v>2500</v>
      </c>
      <c r="L16" s="101">
        <f>IF(J16&gt;0,(J16-K16)/J16,"")</f>
        <v/>
      </c>
      <c r="M16" s="102" t="inlineStr"/>
    </row>
    <row r="17" ht="22" customHeight="1">
      <c r="A17" s="94" t="inlineStr">
        <is>
          <t>MMD-ILU-0150</t>
        </is>
      </c>
      <c r="B17" s="75" t="inlineStr">
        <is>
          <t>ST-X251LAY</t>
        </is>
      </c>
      <c r="C17" s="58" t="inlineStr">
        <is>
          <t>Showtech</t>
        </is>
      </c>
      <c r="D17" s="58" t="inlineStr">
        <is>
          <t>9R</t>
        </is>
      </c>
      <c r="E17" s="58" t="inlineStr"/>
      <c r="F17" s="58" t="inlineStr"/>
      <c r="G17" s="58" t="inlineStr">
        <is>
          <t>DISPONIVEL</t>
        </is>
      </c>
      <c r="H17" s="58" t="inlineStr">
        <is>
          <t>USADO</t>
        </is>
      </c>
      <c r="I17" s="95" t="inlineStr">
        <is>
          <t>★★☆☆☆</t>
        </is>
      </c>
      <c r="J17" s="142" t="n">
        <v>4590</v>
      </c>
      <c r="K17" s="143" t="n">
        <v>2500</v>
      </c>
      <c r="L17" s="98">
        <f>IF(J17&gt;0,(J17-K17)/J17,"")</f>
        <v/>
      </c>
      <c r="M17" s="99" t="inlineStr"/>
    </row>
    <row r="18" ht="22" customHeight="1">
      <c r="A18" s="54" t="inlineStr">
        <is>
          <t>MMD-ILU-0151</t>
        </is>
      </c>
      <c r="B18" s="79" t="inlineStr">
        <is>
          <t>ST-X251LAY</t>
        </is>
      </c>
      <c r="C18" s="53" t="inlineStr">
        <is>
          <t>Showtech</t>
        </is>
      </c>
      <c r="D18" s="53" t="inlineStr">
        <is>
          <t>9R</t>
        </is>
      </c>
      <c r="E18" s="53" t="inlineStr"/>
      <c r="F18" s="53" t="inlineStr"/>
      <c r="G18" s="53" t="inlineStr">
        <is>
          <t>DISPONIVEL</t>
        </is>
      </c>
      <c r="H18" s="53" t="inlineStr">
        <is>
          <t>USADO</t>
        </is>
      </c>
      <c r="I18" s="95" t="inlineStr">
        <is>
          <t>★★☆☆☆</t>
        </is>
      </c>
      <c r="J18" s="141" t="n">
        <v>4590</v>
      </c>
      <c r="K18" s="143" t="n">
        <v>2500</v>
      </c>
      <c r="L18" s="101">
        <f>IF(J18&gt;0,(J18-K18)/J18,"")</f>
        <v/>
      </c>
      <c r="M18" s="102" t="inlineStr"/>
    </row>
    <row r="19" ht="22" customHeight="1">
      <c r="A19" s="94" t="inlineStr">
        <is>
          <t>MMD-ILU-0152</t>
        </is>
      </c>
      <c r="B19" s="75" t="inlineStr">
        <is>
          <t>ST-X251LAY</t>
        </is>
      </c>
      <c r="C19" s="58" t="inlineStr">
        <is>
          <t>Showtech</t>
        </is>
      </c>
      <c r="D19" s="58" t="inlineStr">
        <is>
          <t>9R</t>
        </is>
      </c>
      <c r="E19" s="58" t="inlineStr"/>
      <c r="F19" s="58" t="inlineStr"/>
      <c r="G19" s="58" t="inlineStr">
        <is>
          <t>DISPONIVEL</t>
        </is>
      </c>
      <c r="H19" s="58" t="inlineStr">
        <is>
          <t>USADO</t>
        </is>
      </c>
      <c r="I19" s="95" t="inlineStr">
        <is>
          <t>★★☆☆☆</t>
        </is>
      </c>
      <c r="J19" s="142" t="n">
        <v>4590</v>
      </c>
      <c r="K19" s="143" t="n">
        <v>2500</v>
      </c>
      <c r="L19" s="98">
        <f>IF(J19&gt;0,(J19-K19)/J19,"")</f>
        <v/>
      </c>
      <c r="M19" s="99" t="inlineStr"/>
    </row>
    <row r="20" ht="22" customHeight="1">
      <c r="A20" s="54" t="inlineStr">
        <is>
          <t>MMD-ILU-0153</t>
        </is>
      </c>
      <c r="B20" s="79" t="inlineStr">
        <is>
          <t>ST-X251LAY</t>
        </is>
      </c>
      <c r="C20" s="53" t="inlineStr">
        <is>
          <t>Showtech</t>
        </is>
      </c>
      <c r="D20" s="53" t="inlineStr">
        <is>
          <t>9R</t>
        </is>
      </c>
      <c r="E20" s="53" t="inlineStr"/>
      <c r="F20" s="53" t="inlineStr"/>
      <c r="G20" s="53" t="inlineStr">
        <is>
          <t>DISPONIVEL</t>
        </is>
      </c>
      <c r="H20" s="53" t="inlineStr">
        <is>
          <t>USADO</t>
        </is>
      </c>
      <c r="I20" s="95" t="inlineStr">
        <is>
          <t>★★☆☆☆</t>
        </is>
      </c>
      <c r="J20" s="141" t="n">
        <v>4590</v>
      </c>
      <c r="K20" s="143" t="n">
        <v>2500</v>
      </c>
      <c r="L20" s="101">
        <f>IF(J20&gt;0,(J20-K20)/J20,"")</f>
        <v/>
      </c>
      <c r="M20" s="102" t="inlineStr"/>
    </row>
    <row r="21" ht="22" customHeight="1">
      <c r="A21" s="94" t="inlineStr">
        <is>
          <t>MMD-ILU-0154</t>
        </is>
      </c>
      <c r="B21" s="75" t="inlineStr">
        <is>
          <t>ST-X251LAY</t>
        </is>
      </c>
      <c r="C21" s="58" t="inlineStr">
        <is>
          <t>Showtech</t>
        </is>
      </c>
      <c r="D21" s="58" t="inlineStr">
        <is>
          <t>9R</t>
        </is>
      </c>
      <c r="E21" s="58" t="inlineStr"/>
      <c r="F21" s="58" t="inlineStr"/>
      <c r="G21" s="58" t="inlineStr">
        <is>
          <t>DISPONIVEL</t>
        </is>
      </c>
      <c r="H21" s="58" t="inlineStr">
        <is>
          <t>USADO</t>
        </is>
      </c>
      <c r="I21" s="95" t="inlineStr">
        <is>
          <t>★★☆☆☆</t>
        </is>
      </c>
      <c r="J21" s="142" t="n">
        <v>4590</v>
      </c>
      <c r="K21" s="143" t="n">
        <v>2500</v>
      </c>
      <c r="L21" s="98">
        <f>IF(J21&gt;0,(J21-K21)/J21,"")</f>
        <v/>
      </c>
      <c r="M21" s="99" t="inlineStr"/>
    </row>
    <row r="22" ht="22" customHeight="1">
      <c r="A22" s="54" t="inlineStr">
        <is>
          <t>MMD-ILU-0155</t>
        </is>
      </c>
      <c r="B22" s="79" t="inlineStr">
        <is>
          <t>ST-X251LAY</t>
        </is>
      </c>
      <c r="C22" s="53" t="inlineStr">
        <is>
          <t>Showtech</t>
        </is>
      </c>
      <c r="D22" s="53" t="inlineStr">
        <is>
          <t>9R</t>
        </is>
      </c>
      <c r="E22" s="53" t="inlineStr"/>
      <c r="F22" s="53" t="inlineStr"/>
      <c r="G22" s="53" t="inlineStr">
        <is>
          <t>DISPONIVEL</t>
        </is>
      </c>
      <c r="H22" s="53" t="inlineStr">
        <is>
          <t>USADO</t>
        </is>
      </c>
      <c r="I22" s="95" t="inlineStr">
        <is>
          <t>★★☆☆☆</t>
        </is>
      </c>
      <c r="J22" s="141" t="n">
        <v>4590</v>
      </c>
      <c r="K22" s="143" t="n">
        <v>2500</v>
      </c>
      <c r="L22" s="101">
        <f>IF(J22&gt;0,(J22-K22)/J22,"")</f>
        <v/>
      </c>
      <c r="M22" s="102" t="inlineStr"/>
    </row>
    <row r="23" ht="24" customHeight="1">
      <c r="A23" s="92" t="inlineStr">
        <is>
          <t xml:space="preserve">  AZUL  (1)</t>
        </is>
      </c>
    </row>
    <row r="24" ht="22" customHeight="1">
      <c r="A24" s="94" t="inlineStr">
        <is>
          <t>MMD-ILU-0185</t>
        </is>
      </c>
      <c r="B24" s="75" t="inlineStr">
        <is>
          <t>LASER DISPLAY SYSTEM B500</t>
        </is>
      </c>
      <c r="C24" s="58" t="inlineStr"/>
      <c r="D24" s="58" t="inlineStr">
        <is>
          <t>AZUL</t>
        </is>
      </c>
      <c r="E24" s="58" t="inlineStr">
        <is>
          <t>JA081375</t>
        </is>
      </c>
      <c r="F24" s="58" t="inlineStr"/>
      <c r="G24" s="58" t="inlineStr">
        <is>
          <t>DISPONIVEL</t>
        </is>
      </c>
      <c r="H24" s="58" t="inlineStr">
        <is>
          <t>USADO</t>
        </is>
      </c>
      <c r="I24" s="95" t="inlineStr">
        <is>
          <t>★★☆☆☆</t>
        </is>
      </c>
      <c r="J24" s="142" t="n">
        <v>799</v>
      </c>
      <c r="K24" s="143" t="n">
        <v>639</v>
      </c>
      <c r="L24" s="98">
        <f>IF(J24&gt;0,(J24-K24)/J24,"")</f>
        <v/>
      </c>
      <c r="M24" s="99" t="inlineStr"/>
    </row>
    <row r="25" ht="24" customHeight="1">
      <c r="A25" s="92" t="inlineStr">
        <is>
          <t xml:space="preserve">  BEAM  (1)</t>
        </is>
      </c>
    </row>
    <row r="26" ht="22" customHeight="1">
      <c r="A26" s="54" t="inlineStr">
        <is>
          <t>MMD-ILU-0186</t>
        </is>
      </c>
      <c r="B26" s="79" t="inlineStr">
        <is>
          <t>HW-LED267 8*12W RGBW BEAM</t>
        </is>
      </c>
      <c r="C26" s="53" t="inlineStr"/>
      <c r="D26" s="53" t="inlineStr">
        <is>
          <t>BEAM</t>
        </is>
      </c>
      <c r="E26" s="53" t="inlineStr"/>
      <c r="F26" s="53" t="inlineStr"/>
      <c r="G26" s="53" t="inlineStr">
        <is>
          <t>DISPONIVEL</t>
        </is>
      </c>
      <c r="H26" s="53" t="inlineStr">
        <is>
          <t>USADO</t>
        </is>
      </c>
      <c r="I26" s="95" t="inlineStr">
        <is>
          <t>★★☆☆☆</t>
        </is>
      </c>
      <c r="J26" s="141" t="n">
        <v>2224</v>
      </c>
      <c r="K26" s="143" t="n">
        <v>2224</v>
      </c>
      <c r="L26" s="101">
        <f>IF(J26&gt;0,(J26-K26)/J26,"")</f>
        <v/>
      </c>
      <c r="M26" s="102" t="inlineStr"/>
    </row>
    <row r="27" ht="24" customHeight="1">
      <c r="A27" s="92" t="inlineStr">
        <is>
          <t xml:space="preserve">  COB  (2)</t>
        </is>
      </c>
    </row>
    <row r="28" ht="22" customHeight="1">
      <c r="A28" s="94" t="inlineStr">
        <is>
          <t>MMD-ILU-0082</t>
        </is>
      </c>
      <c r="B28" s="75" t="inlineStr">
        <is>
          <t>PL27002</t>
        </is>
      </c>
      <c r="C28" s="58" t="inlineStr"/>
      <c r="D28" s="58" t="inlineStr">
        <is>
          <t>COB</t>
        </is>
      </c>
      <c r="E28" s="58" t="inlineStr"/>
      <c r="F28" s="58" t="inlineStr"/>
      <c r="G28" s="58" t="inlineStr">
        <is>
          <t>DISPONIVEL</t>
        </is>
      </c>
      <c r="H28" s="58" t="inlineStr">
        <is>
          <t>USADO</t>
        </is>
      </c>
      <c r="I28" s="95" t="inlineStr">
        <is>
          <t>★★☆☆☆</t>
        </is>
      </c>
      <c r="J28" s="142" t="n">
        <v>799</v>
      </c>
      <c r="K28" s="143" t="n">
        <v>450</v>
      </c>
      <c r="L28" s="98">
        <f>IF(J28&gt;0,(J28-K28)/J28,"")</f>
        <v/>
      </c>
      <c r="M28" s="99" t="inlineStr"/>
    </row>
    <row r="29" ht="22" customHeight="1">
      <c r="A29" s="54" t="inlineStr">
        <is>
          <t>MMD-ILU-0083</t>
        </is>
      </c>
      <c r="B29" s="79" t="inlineStr">
        <is>
          <t>PL27002</t>
        </is>
      </c>
      <c r="C29" s="53" t="inlineStr"/>
      <c r="D29" s="53" t="inlineStr">
        <is>
          <t>COB</t>
        </is>
      </c>
      <c r="E29" s="53" t="inlineStr"/>
      <c r="F29" s="53" t="inlineStr"/>
      <c r="G29" s="53" t="inlineStr">
        <is>
          <t>DISPONIVEL</t>
        </is>
      </c>
      <c r="H29" s="53" t="inlineStr">
        <is>
          <t>USADO</t>
        </is>
      </c>
      <c r="I29" s="95" t="inlineStr">
        <is>
          <t>★★☆☆☆</t>
        </is>
      </c>
      <c r="J29" s="141" t="n">
        <v>799</v>
      </c>
      <c r="K29" s="143" t="n">
        <v>450</v>
      </c>
      <c r="L29" s="101">
        <f>IF(J29&gt;0,(J29-K29)/J29,"")</f>
        <v/>
      </c>
      <c r="M29" s="102" t="inlineStr"/>
    </row>
    <row r="30" ht="24" customHeight="1">
      <c r="A30" s="92" t="inlineStr">
        <is>
          <t xml:space="preserve">  CTRL DMX  (1)</t>
        </is>
      </c>
    </row>
    <row r="31" ht="22" customHeight="1">
      <c r="A31" s="94" t="inlineStr">
        <is>
          <t>MMD-ILU-0187</t>
        </is>
      </c>
      <c r="B31" s="75" t="inlineStr">
        <is>
          <t>PRO X4i</t>
        </is>
      </c>
      <c r="C31" s="58" t="inlineStr">
        <is>
          <t>Lumikit</t>
        </is>
      </c>
      <c r="D31" s="58" t="inlineStr">
        <is>
          <t>CTRL DMX</t>
        </is>
      </c>
      <c r="E31" s="58" t="inlineStr"/>
      <c r="F31" s="58" t="inlineStr"/>
      <c r="G31" s="58" t="inlineStr">
        <is>
          <t>DISPONIVEL</t>
        </is>
      </c>
      <c r="H31" s="58" t="inlineStr">
        <is>
          <t>USADO</t>
        </is>
      </c>
      <c r="I31" s="103" t="inlineStr">
        <is>
          <t>★★★☆☆</t>
        </is>
      </c>
      <c r="J31" s="142" t="n">
        <v>949</v>
      </c>
      <c r="K31" s="143" t="n">
        <v>947.15</v>
      </c>
      <c r="L31" s="98">
        <f>IF(J31&gt;0,(J31-K31)/J31,"")</f>
        <v/>
      </c>
      <c r="M31" s="99" t="inlineStr"/>
    </row>
    <row r="32" ht="24" customHeight="1">
      <c r="A32" s="92" t="inlineStr">
        <is>
          <t xml:space="preserve">  FIXA  (37)</t>
        </is>
      </c>
    </row>
    <row r="33" ht="22" customHeight="1">
      <c r="A33" s="54" t="inlineStr">
        <is>
          <t>MMD-ILU-0060</t>
        </is>
      </c>
      <c r="B33" s="79" t="inlineStr">
        <is>
          <t>ST-14BSLX</t>
        </is>
      </c>
      <c r="C33" s="53" t="inlineStr">
        <is>
          <t>Showtech</t>
        </is>
      </c>
      <c r="D33" s="53" t="inlineStr">
        <is>
          <t>FIXA</t>
        </is>
      </c>
      <c r="E33" s="53" t="inlineStr"/>
      <c r="F33" s="53" t="inlineStr"/>
      <c r="G33" s="53" t="inlineStr">
        <is>
          <t>DISPONIVEL</t>
        </is>
      </c>
      <c r="H33" s="53" t="inlineStr">
        <is>
          <t>USADO</t>
        </is>
      </c>
      <c r="I33" s="95" t="inlineStr">
        <is>
          <t>★★☆☆☆</t>
        </is>
      </c>
      <c r="J33" s="141" t="n">
        <v>1200</v>
      </c>
      <c r="K33" s="143" t="n">
        <v>120</v>
      </c>
      <c r="L33" s="101">
        <f>IF(J33&gt;0,(J33-K33)/J33,"")</f>
        <v/>
      </c>
      <c r="M33" s="102" t="inlineStr"/>
    </row>
    <row r="34" ht="22" customHeight="1">
      <c r="A34" s="94" t="inlineStr">
        <is>
          <t>MMD-ILU-0061</t>
        </is>
      </c>
      <c r="B34" s="75" t="inlineStr">
        <is>
          <t>ST-14BSLX</t>
        </is>
      </c>
      <c r="C34" s="58" t="inlineStr">
        <is>
          <t>Showtech</t>
        </is>
      </c>
      <c r="D34" s="58" t="inlineStr">
        <is>
          <t>FIXA</t>
        </is>
      </c>
      <c r="E34" s="58" t="inlineStr"/>
      <c r="F34" s="58" t="inlineStr"/>
      <c r="G34" s="58" t="inlineStr">
        <is>
          <t>DISPONIVEL</t>
        </is>
      </c>
      <c r="H34" s="58" t="inlineStr">
        <is>
          <t>USADO</t>
        </is>
      </c>
      <c r="I34" s="95" t="inlineStr">
        <is>
          <t>★★☆☆☆</t>
        </is>
      </c>
      <c r="J34" s="142" t="n">
        <v>1200</v>
      </c>
      <c r="K34" s="143" t="n">
        <v>120</v>
      </c>
      <c r="L34" s="98">
        <f>IF(J34&gt;0,(J34-K34)/J34,"")</f>
        <v/>
      </c>
      <c r="M34" s="99" t="inlineStr"/>
    </row>
    <row r="35" ht="22" customHeight="1">
      <c r="A35" s="54" t="inlineStr">
        <is>
          <t>MMD-ILU-0062</t>
        </is>
      </c>
      <c r="B35" s="79" t="inlineStr">
        <is>
          <t>ST-14BSLX</t>
        </is>
      </c>
      <c r="C35" s="53" t="inlineStr">
        <is>
          <t>Showtech</t>
        </is>
      </c>
      <c r="D35" s="53" t="inlineStr">
        <is>
          <t>FIXA</t>
        </is>
      </c>
      <c r="E35" s="53" t="inlineStr"/>
      <c r="F35" s="53" t="inlineStr"/>
      <c r="G35" s="53" t="inlineStr">
        <is>
          <t>DISPONIVEL</t>
        </is>
      </c>
      <c r="H35" s="53" t="inlineStr">
        <is>
          <t>USADO</t>
        </is>
      </c>
      <c r="I35" s="95" t="inlineStr">
        <is>
          <t>★★☆☆☆</t>
        </is>
      </c>
      <c r="J35" s="141" t="n">
        <v>1200</v>
      </c>
      <c r="K35" s="143" t="n">
        <v>120</v>
      </c>
      <c r="L35" s="101">
        <f>IF(J35&gt;0,(J35-K35)/J35,"")</f>
        <v/>
      </c>
      <c r="M35" s="102" t="inlineStr"/>
    </row>
    <row r="36" ht="22" customHeight="1">
      <c r="A36" s="94" t="inlineStr">
        <is>
          <t>MMD-ILU-0064</t>
        </is>
      </c>
      <c r="B36" s="75" t="inlineStr">
        <is>
          <t>AH-084-5</t>
        </is>
      </c>
      <c r="C36" s="58" t="inlineStr">
        <is>
          <t>Hows</t>
        </is>
      </c>
      <c r="D36" s="58" t="inlineStr">
        <is>
          <t>FIXA</t>
        </is>
      </c>
      <c r="E36" s="58" t="inlineStr"/>
      <c r="F36" s="58" t="inlineStr"/>
      <c r="G36" s="58" t="inlineStr">
        <is>
          <t>DISPONIVEL</t>
        </is>
      </c>
      <c r="H36" s="58" t="inlineStr">
        <is>
          <t>USADO</t>
        </is>
      </c>
      <c r="I36" s="95" t="inlineStr">
        <is>
          <t>★★☆☆☆</t>
        </is>
      </c>
      <c r="J36" s="142" t="n">
        <v>1015</v>
      </c>
      <c r="K36" s="143" t="n">
        <v>508.94</v>
      </c>
      <c r="L36" s="98">
        <f>IF(J36&gt;0,(J36-K36)/J36,"")</f>
        <v/>
      </c>
      <c r="M36" s="99" t="inlineStr"/>
    </row>
    <row r="37" ht="22" customHeight="1">
      <c r="A37" s="54" t="inlineStr">
        <is>
          <t>MMD-ILU-0118</t>
        </is>
      </c>
      <c r="B37" s="79" t="inlineStr">
        <is>
          <t>ST-XQDFS24 - BLINDADA</t>
        </is>
      </c>
      <c r="C37" s="53" t="inlineStr">
        <is>
          <t>Showtech</t>
        </is>
      </c>
      <c r="D37" s="53" t="inlineStr">
        <is>
          <t>FIXA</t>
        </is>
      </c>
      <c r="E37" s="53" t="inlineStr"/>
      <c r="F37" s="53" t="inlineStr"/>
      <c r="G37" s="53" t="inlineStr">
        <is>
          <t>DISPONIVEL</t>
        </is>
      </c>
      <c r="H37" s="53" t="inlineStr">
        <is>
          <t>USADO</t>
        </is>
      </c>
      <c r="I37" s="95" t="inlineStr">
        <is>
          <t>★★☆☆☆</t>
        </is>
      </c>
      <c r="J37" s="141" t="n">
        <v>1200</v>
      </c>
      <c r="K37" s="143" t="n">
        <v>819.99</v>
      </c>
      <c r="L37" s="101">
        <f>IF(J37&gt;0,(J37-K37)/J37,"")</f>
        <v/>
      </c>
      <c r="M37" s="102" t="inlineStr"/>
    </row>
    <row r="38" ht="22" customHeight="1">
      <c r="A38" s="94" t="inlineStr">
        <is>
          <t>MMD-ILU-0119</t>
        </is>
      </c>
      <c r="B38" s="75" t="inlineStr">
        <is>
          <t>ST-XQDFS24 - BLINDADA</t>
        </is>
      </c>
      <c r="C38" s="58" t="inlineStr">
        <is>
          <t>Showtech</t>
        </is>
      </c>
      <c r="D38" s="58" t="inlineStr">
        <is>
          <t>FIXA</t>
        </is>
      </c>
      <c r="E38" s="58" t="inlineStr"/>
      <c r="F38" s="58" t="inlineStr"/>
      <c r="G38" s="58" t="inlineStr">
        <is>
          <t>DISPONIVEL</t>
        </is>
      </c>
      <c r="H38" s="58" t="inlineStr">
        <is>
          <t>USADO</t>
        </is>
      </c>
      <c r="I38" s="95" t="inlineStr">
        <is>
          <t>★★☆☆☆</t>
        </is>
      </c>
      <c r="J38" s="142" t="n">
        <v>1200</v>
      </c>
      <c r="K38" s="143" t="n">
        <v>819.99</v>
      </c>
      <c r="L38" s="98">
        <f>IF(J38&gt;0,(J38-K38)/J38,"")</f>
        <v/>
      </c>
      <c r="M38" s="99" t="inlineStr"/>
    </row>
    <row r="39" ht="22" customHeight="1">
      <c r="A39" s="54" t="inlineStr">
        <is>
          <t>MMD-ILU-0120</t>
        </is>
      </c>
      <c r="B39" s="79" t="inlineStr">
        <is>
          <t>ST-XQDFS24 - BLINDADA</t>
        </is>
      </c>
      <c r="C39" s="53" t="inlineStr">
        <is>
          <t>Showtech</t>
        </is>
      </c>
      <c r="D39" s="53" t="inlineStr">
        <is>
          <t>FIXA</t>
        </is>
      </c>
      <c r="E39" s="53" t="inlineStr"/>
      <c r="F39" s="53" t="inlineStr"/>
      <c r="G39" s="53" t="inlineStr">
        <is>
          <t>DISPONIVEL</t>
        </is>
      </c>
      <c r="H39" s="53" t="inlineStr">
        <is>
          <t>USADO</t>
        </is>
      </c>
      <c r="I39" s="95" t="inlineStr">
        <is>
          <t>★★☆☆☆</t>
        </is>
      </c>
      <c r="J39" s="141" t="n">
        <v>1200</v>
      </c>
      <c r="K39" s="143" t="n">
        <v>819.99</v>
      </c>
      <c r="L39" s="101">
        <f>IF(J39&gt;0,(J39-K39)/J39,"")</f>
        <v/>
      </c>
      <c r="M39" s="102" t="inlineStr"/>
    </row>
    <row r="40" ht="22" customHeight="1">
      <c r="A40" s="94" t="inlineStr">
        <is>
          <t>MMD-ILU-0121</t>
        </is>
      </c>
      <c r="B40" s="75" t="inlineStr">
        <is>
          <t>ST-XQDFS24 - BLINDADA</t>
        </is>
      </c>
      <c r="C40" s="58" t="inlineStr">
        <is>
          <t>Showtech</t>
        </is>
      </c>
      <c r="D40" s="58" t="inlineStr">
        <is>
          <t>FIXA</t>
        </is>
      </c>
      <c r="E40" s="58" t="inlineStr"/>
      <c r="F40" s="58" t="inlineStr"/>
      <c r="G40" s="58" t="inlineStr">
        <is>
          <t>DISPONIVEL</t>
        </is>
      </c>
      <c r="H40" s="58" t="inlineStr">
        <is>
          <t>USADO</t>
        </is>
      </c>
      <c r="I40" s="95" t="inlineStr">
        <is>
          <t>★★☆☆☆</t>
        </is>
      </c>
      <c r="J40" s="142" t="n">
        <v>1200</v>
      </c>
      <c r="K40" s="143" t="n">
        <v>819.99</v>
      </c>
      <c r="L40" s="98">
        <f>IF(J40&gt;0,(J40-K40)/J40,"")</f>
        <v/>
      </c>
      <c r="M40" s="99" t="inlineStr"/>
    </row>
    <row r="41" ht="22" customHeight="1">
      <c r="A41" s="54" t="inlineStr">
        <is>
          <t>MMD-ILU-0122</t>
        </is>
      </c>
      <c r="B41" s="79" t="inlineStr">
        <is>
          <t>ST-XQDFS24 - BLINDADA</t>
        </is>
      </c>
      <c r="C41" s="53" t="inlineStr">
        <is>
          <t>Showtech</t>
        </is>
      </c>
      <c r="D41" s="53" t="inlineStr">
        <is>
          <t>FIXA</t>
        </is>
      </c>
      <c r="E41" s="53" t="inlineStr"/>
      <c r="F41" s="53" t="inlineStr"/>
      <c r="G41" s="53" t="inlineStr">
        <is>
          <t>DISPONIVEL</t>
        </is>
      </c>
      <c r="H41" s="53" t="inlineStr">
        <is>
          <t>USADO</t>
        </is>
      </c>
      <c r="I41" s="95" t="inlineStr">
        <is>
          <t>★★☆☆☆</t>
        </is>
      </c>
      <c r="J41" s="141" t="n">
        <v>1200</v>
      </c>
      <c r="K41" s="143" t="n">
        <v>819.99</v>
      </c>
      <c r="L41" s="101">
        <f>IF(J41&gt;0,(J41-K41)/J41,"")</f>
        <v/>
      </c>
      <c r="M41" s="102" t="inlineStr"/>
    </row>
    <row r="42" ht="22" customHeight="1">
      <c r="A42" s="94" t="inlineStr">
        <is>
          <t>MMD-ILU-0123</t>
        </is>
      </c>
      <c r="B42" s="75" t="inlineStr">
        <is>
          <t>ST-XQDFS24 - BLINDADA</t>
        </is>
      </c>
      <c r="C42" s="58" t="inlineStr">
        <is>
          <t>Showtech</t>
        </is>
      </c>
      <c r="D42" s="58" t="inlineStr">
        <is>
          <t>FIXA</t>
        </is>
      </c>
      <c r="E42" s="58" t="inlineStr"/>
      <c r="F42" s="58" t="inlineStr"/>
      <c r="G42" s="58" t="inlineStr">
        <is>
          <t>DISPONIVEL</t>
        </is>
      </c>
      <c r="H42" s="58" t="inlineStr">
        <is>
          <t>USADO</t>
        </is>
      </c>
      <c r="I42" s="95" t="inlineStr">
        <is>
          <t>★★☆☆☆</t>
        </is>
      </c>
      <c r="J42" s="142" t="n">
        <v>1200</v>
      </c>
      <c r="K42" s="143" t="n">
        <v>819.99</v>
      </c>
      <c r="L42" s="98">
        <f>IF(J42&gt;0,(J42-K42)/J42,"")</f>
        <v/>
      </c>
      <c r="M42" s="99" t="inlineStr"/>
    </row>
    <row r="43" ht="22" customHeight="1">
      <c r="A43" s="54" t="inlineStr">
        <is>
          <t>MMD-ILU-0124</t>
        </is>
      </c>
      <c r="B43" s="79" t="inlineStr">
        <is>
          <t>ST-XQDFS24 - BLINDADA</t>
        </is>
      </c>
      <c r="C43" s="53" t="inlineStr">
        <is>
          <t>Showtech</t>
        </is>
      </c>
      <c r="D43" s="53" t="inlineStr">
        <is>
          <t>FIXA</t>
        </is>
      </c>
      <c r="E43" s="53" t="inlineStr"/>
      <c r="F43" s="53" t="inlineStr"/>
      <c r="G43" s="53" t="inlineStr">
        <is>
          <t>DISPONIVEL</t>
        </is>
      </c>
      <c r="H43" s="53" t="inlineStr">
        <is>
          <t>USADO</t>
        </is>
      </c>
      <c r="I43" s="95" t="inlineStr">
        <is>
          <t>★★☆☆☆</t>
        </is>
      </c>
      <c r="J43" s="141" t="n">
        <v>1200</v>
      </c>
      <c r="K43" s="143" t="n">
        <v>819.99</v>
      </c>
      <c r="L43" s="101">
        <f>IF(J43&gt;0,(J43-K43)/J43,"")</f>
        <v/>
      </c>
      <c r="M43" s="102" t="inlineStr"/>
    </row>
    <row r="44" ht="22" customHeight="1">
      <c r="A44" s="94" t="inlineStr">
        <is>
          <t>MMD-ILU-0125</t>
        </is>
      </c>
      <c r="B44" s="75" t="inlineStr">
        <is>
          <t>ST-XQDFS24 - BLINDADA</t>
        </is>
      </c>
      <c r="C44" s="58" t="inlineStr">
        <is>
          <t>Showtech</t>
        </is>
      </c>
      <c r="D44" s="58" t="inlineStr">
        <is>
          <t>FIXA</t>
        </is>
      </c>
      <c r="E44" s="58" t="inlineStr"/>
      <c r="F44" s="58" t="inlineStr"/>
      <c r="G44" s="58" t="inlineStr">
        <is>
          <t>DISPONIVEL</t>
        </is>
      </c>
      <c r="H44" s="58" t="inlineStr">
        <is>
          <t>USADO</t>
        </is>
      </c>
      <c r="I44" s="95" t="inlineStr">
        <is>
          <t>★★☆☆☆</t>
        </is>
      </c>
      <c r="J44" s="142" t="n">
        <v>1200</v>
      </c>
      <c r="K44" s="143" t="n">
        <v>819.99</v>
      </c>
      <c r="L44" s="98">
        <f>IF(J44&gt;0,(J44-K44)/J44,"")</f>
        <v/>
      </c>
      <c r="M44" s="99" t="inlineStr"/>
    </row>
    <row r="45" ht="22" customHeight="1">
      <c r="A45" s="54" t="inlineStr">
        <is>
          <t>MMD-ILU-0126</t>
        </is>
      </c>
      <c r="B45" s="79" t="inlineStr">
        <is>
          <t>ST-XQDFS24 - BLINDADA</t>
        </is>
      </c>
      <c r="C45" s="53" t="inlineStr">
        <is>
          <t>Showtech</t>
        </is>
      </c>
      <c r="D45" s="53" t="inlineStr">
        <is>
          <t>FIXA</t>
        </is>
      </c>
      <c r="E45" s="53" t="inlineStr"/>
      <c r="F45" s="53" t="inlineStr"/>
      <c r="G45" s="53" t="inlineStr">
        <is>
          <t>DISPONIVEL</t>
        </is>
      </c>
      <c r="H45" s="53" t="inlineStr">
        <is>
          <t>USADO</t>
        </is>
      </c>
      <c r="I45" s="95" t="inlineStr">
        <is>
          <t>★★☆☆☆</t>
        </is>
      </c>
      <c r="J45" s="141" t="n">
        <v>1200</v>
      </c>
      <c r="K45" s="143" t="n">
        <v>819.99</v>
      </c>
      <c r="L45" s="101">
        <f>IF(J45&gt;0,(J45-K45)/J45,"")</f>
        <v/>
      </c>
      <c r="M45" s="102" t="inlineStr"/>
    </row>
    <row r="46" ht="22" customHeight="1">
      <c r="A46" s="94" t="inlineStr">
        <is>
          <t>MMD-ILU-0127</t>
        </is>
      </c>
      <c r="B46" s="75" t="inlineStr">
        <is>
          <t>ST-XQDFS24 - BLINDADA</t>
        </is>
      </c>
      <c r="C46" s="58" t="inlineStr">
        <is>
          <t>Showtech</t>
        </is>
      </c>
      <c r="D46" s="58" t="inlineStr">
        <is>
          <t>FIXA</t>
        </is>
      </c>
      <c r="E46" s="58" t="inlineStr"/>
      <c r="F46" s="58" t="inlineStr"/>
      <c r="G46" s="58" t="inlineStr">
        <is>
          <t>DISPONIVEL</t>
        </is>
      </c>
      <c r="H46" s="58" t="inlineStr">
        <is>
          <t>USADO</t>
        </is>
      </c>
      <c r="I46" s="95" t="inlineStr">
        <is>
          <t>★★☆☆☆</t>
        </is>
      </c>
      <c r="J46" s="142" t="n">
        <v>1200</v>
      </c>
      <c r="K46" s="143" t="n">
        <v>819.99</v>
      </c>
      <c r="L46" s="98">
        <f>IF(J46&gt;0,(J46-K46)/J46,"")</f>
        <v/>
      </c>
      <c r="M46" s="99" t="inlineStr"/>
    </row>
    <row r="47" ht="22" customHeight="1">
      <c r="A47" s="54" t="inlineStr">
        <is>
          <t>MMD-ILU-0128</t>
        </is>
      </c>
      <c r="B47" s="79" t="inlineStr">
        <is>
          <t>ST-XQDFS24 - BLINDADA</t>
        </is>
      </c>
      <c r="C47" s="53" t="inlineStr">
        <is>
          <t>Showtech</t>
        </is>
      </c>
      <c r="D47" s="53" t="inlineStr">
        <is>
          <t>FIXA</t>
        </is>
      </c>
      <c r="E47" s="53" t="inlineStr"/>
      <c r="F47" s="53" t="inlineStr"/>
      <c r="G47" s="53" t="inlineStr">
        <is>
          <t>DISPONIVEL</t>
        </is>
      </c>
      <c r="H47" s="53" t="inlineStr">
        <is>
          <t>USADO</t>
        </is>
      </c>
      <c r="I47" s="95" t="inlineStr">
        <is>
          <t>★★☆☆☆</t>
        </is>
      </c>
      <c r="J47" s="141" t="n">
        <v>1200</v>
      </c>
      <c r="K47" s="143" t="n">
        <v>819.99</v>
      </c>
      <c r="L47" s="101">
        <f>IF(J47&gt;0,(J47-K47)/J47,"")</f>
        <v/>
      </c>
      <c r="M47" s="102" t="inlineStr"/>
    </row>
    <row r="48" ht="22" customHeight="1">
      <c r="A48" s="94" t="inlineStr">
        <is>
          <t>MMD-ILU-0129</t>
        </is>
      </c>
      <c r="B48" s="75" t="inlineStr">
        <is>
          <t>ST-XQDFS24 - BLINDADA</t>
        </is>
      </c>
      <c r="C48" s="58" t="inlineStr">
        <is>
          <t>Showtech</t>
        </is>
      </c>
      <c r="D48" s="58" t="inlineStr">
        <is>
          <t>FIXA</t>
        </is>
      </c>
      <c r="E48" s="58" t="inlineStr"/>
      <c r="F48" s="58" t="inlineStr"/>
      <c r="G48" s="58" t="inlineStr">
        <is>
          <t>DISPONIVEL</t>
        </is>
      </c>
      <c r="H48" s="58" t="inlineStr">
        <is>
          <t>USADO</t>
        </is>
      </c>
      <c r="I48" s="95" t="inlineStr">
        <is>
          <t>★★☆☆☆</t>
        </is>
      </c>
      <c r="J48" s="142" t="n">
        <v>1200</v>
      </c>
      <c r="K48" s="143" t="n">
        <v>819.99</v>
      </c>
      <c r="L48" s="98">
        <f>IF(J48&gt;0,(J48-K48)/J48,"")</f>
        <v/>
      </c>
      <c r="M48" s="99" t="inlineStr"/>
    </row>
    <row r="49" ht="22" customHeight="1">
      <c r="A49" s="54" t="inlineStr">
        <is>
          <t>MMD-ILU-0130</t>
        </is>
      </c>
      <c r="B49" s="79" t="inlineStr">
        <is>
          <t>ST-XQDFS24 - BLINDADA</t>
        </is>
      </c>
      <c r="C49" s="53" t="inlineStr">
        <is>
          <t>Showtech</t>
        </is>
      </c>
      <c r="D49" s="53" t="inlineStr">
        <is>
          <t>FIXA</t>
        </is>
      </c>
      <c r="E49" s="53" t="inlineStr"/>
      <c r="F49" s="53" t="inlineStr"/>
      <c r="G49" s="53" t="inlineStr">
        <is>
          <t>DISPONIVEL</t>
        </is>
      </c>
      <c r="H49" s="53" t="inlineStr">
        <is>
          <t>USADO</t>
        </is>
      </c>
      <c r="I49" s="95" t="inlineStr">
        <is>
          <t>★★☆☆☆</t>
        </is>
      </c>
      <c r="J49" s="141" t="n">
        <v>1200</v>
      </c>
      <c r="K49" s="143" t="n">
        <v>819.99</v>
      </c>
      <c r="L49" s="101">
        <f>IF(J49&gt;0,(J49-K49)/J49,"")</f>
        <v/>
      </c>
      <c r="M49" s="102" t="inlineStr"/>
    </row>
    <row r="50" ht="22" customHeight="1">
      <c r="A50" s="94" t="inlineStr">
        <is>
          <t>MMD-ILU-0131</t>
        </is>
      </c>
      <c r="B50" s="75" t="inlineStr">
        <is>
          <t>ST-XQDFS24 - BLINDADA</t>
        </is>
      </c>
      <c r="C50" s="58" t="inlineStr">
        <is>
          <t>Showtech</t>
        </is>
      </c>
      <c r="D50" s="58" t="inlineStr">
        <is>
          <t>FIXA</t>
        </is>
      </c>
      <c r="E50" s="58" t="inlineStr"/>
      <c r="F50" s="58" t="inlineStr"/>
      <c r="G50" s="58" t="inlineStr">
        <is>
          <t>DISPONIVEL</t>
        </is>
      </c>
      <c r="H50" s="58" t="inlineStr">
        <is>
          <t>USADO</t>
        </is>
      </c>
      <c r="I50" s="95" t="inlineStr">
        <is>
          <t>★★☆☆☆</t>
        </is>
      </c>
      <c r="J50" s="142" t="n">
        <v>1200</v>
      </c>
      <c r="K50" s="143" t="n">
        <v>819.99</v>
      </c>
      <c r="L50" s="98">
        <f>IF(J50&gt;0,(J50-K50)/J50,"")</f>
        <v/>
      </c>
      <c r="M50" s="99" t="inlineStr"/>
    </row>
    <row r="51" ht="22" customHeight="1">
      <c r="A51" s="54" t="inlineStr">
        <is>
          <t>MMD-ILU-0132</t>
        </is>
      </c>
      <c r="B51" s="79" t="inlineStr">
        <is>
          <t>ST-XQDFS24 - BLINDADA</t>
        </is>
      </c>
      <c r="C51" s="53" t="inlineStr">
        <is>
          <t>Showtech</t>
        </is>
      </c>
      <c r="D51" s="53" t="inlineStr">
        <is>
          <t>FIXA</t>
        </is>
      </c>
      <c r="E51" s="53" t="inlineStr"/>
      <c r="F51" s="53" t="inlineStr"/>
      <c r="G51" s="53" t="inlineStr">
        <is>
          <t>DISPONIVEL</t>
        </is>
      </c>
      <c r="H51" s="53" t="inlineStr">
        <is>
          <t>USADO</t>
        </is>
      </c>
      <c r="I51" s="95" t="inlineStr">
        <is>
          <t>★★☆☆☆</t>
        </is>
      </c>
      <c r="J51" s="141" t="n">
        <v>1200</v>
      </c>
      <c r="K51" s="143" t="n">
        <v>819.99</v>
      </c>
      <c r="L51" s="101">
        <f>IF(J51&gt;0,(J51-K51)/J51,"")</f>
        <v/>
      </c>
      <c r="M51" s="102" t="inlineStr"/>
    </row>
    <row r="52" ht="22" customHeight="1">
      <c r="A52" s="94" t="inlineStr">
        <is>
          <t>MMD-ILU-0133</t>
        </is>
      </c>
      <c r="B52" s="75" t="inlineStr">
        <is>
          <t>ST-XQDFS24 - BLINDADA</t>
        </is>
      </c>
      <c r="C52" s="58" t="inlineStr">
        <is>
          <t>Showtech</t>
        </is>
      </c>
      <c r="D52" s="58" t="inlineStr">
        <is>
          <t>FIXA</t>
        </is>
      </c>
      <c r="E52" s="58" t="inlineStr"/>
      <c r="F52" s="58" t="inlineStr"/>
      <c r="G52" s="58" t="inlineStr">
        <is>
          <t>DISPONIVEL</t>
        </is>
      </c>
      <c r="H52" s="58" t="inlineStr">
        <is>
          <t>USADO</t>
        </is>
      </c>
      <c r="I52" s="95" t="inlineStr">
        <is>
          <t>★★☆☆☆</t>
        </is>
      </c>
      <c r="J52" s="142" t="n">
        <v>1200</v>
      </c>
      <c r="K52" s="143" t="n">
        <v>819.99</v>
      </c>
      <c r="L52" s="98">
        <f>IF(J52&gt;0,(J52-K52)/J52,"")</f>
        <v/>
      </c>
      <c r="M52" s="99" t="inlineStr"/>
    </row>
    <row r="53" ht="22" customHeight="1">
      <c r="A53" s="54" t="inlineStr">
        <is>
          <t>MMD-ILU-0134</t>
        </is>
      </c>
      <c r="B53" s="79" t="inlineStr">
        <is>
          <t>ST-XQDFS24 - BLINDADA</t>
        </is>
      </c>
      <c r="C53" s="53" t="inlineStr">
        <is>
          <t>Showtech</t>
        </is>
      </c>
      <c r="D53" s="53" t="inlineStr">
        <is>
          <t>FIXA</t>
        </is>
      </c>
      <c r="E53" s="53" t="inlineStr"/>
      <c r="F53" s="53" t="inlineStr"/>
      <c r="G53" s="53" t="inlineStr">
        <is>
          <t>DISPONIVEL</t>
        </is>
      </c>
      <c r="H53" s="53" t="inlineStr">
        <is>
          <t>USADO</t>
        </is>
      </c>
      <c r="I53" s="95" t="inlineStr">
        <is>
          <t>★★☆☆☆</t>
        </is>
      </c>
      <c r="J53" s="141" t="n">
        <v>1200</v>
      </c>
      <c r="K53" s="143" t="n">
        <v>819.99</v>
      </c>
      <c r="L53" s="101">
        <f>IF(J53&gt;0,(J53-K53)/J53,"")</f>
        <v/>
      </c>
      <c r="M53" s="102" t="inlineStr"/>
    </row>
    <row r="54" ht="22" customHeight="1">
      <c r="A54" s="94" t="inlineStr">
        <is>
          <t>MMD-ILU-0135</t>
        </is>
      </c>
      <c r="B54" s="75" t="inlineStr">
        <is>
          <t>ST-XQDFS24 - BLINDADA</t>
        </is>
      </c>
      <c r="C54" s="58" t="inlineStr">
        <is>
          <t>Showtech</t>
        </is>
      </c>
      <c r="D54" s="58" t="inlineStr">
        <is>
          <t>FIXA</t>
        </is>
      </c>
      <c r="E54" s="58" t="inlineStr"/>
      <c r="F54" s="58" t="inlineStr"/>
      <c r="G54" s="58" t="inlineStr">
        <is>
          <t>DISPONIVEL</t>
        </is>
      </c>
      <c r="H54" s="58" t="inlineStr">
        <is>
          <t>USADO</t>
        </is>
      </c>
      <c r="I54" s="95" t="inlineStr">
        <is>
          <t>★★☆☆☆</t>
        </is>
      </c>
      <c r="J54" s="142" t="n">
        <v>1200</v>
      </c>
      <c r="K54" s="143" t="n">
        <v>819.99</v>
      </c>
      <c r="L54" s="98">
        <f>IF(J54&gt;0,(J54-K54)/J54,"")</f>
        <v/>
      </c>
      <c r="M54" s="99" t="inlineStr"/>
    </row>
    <row r="55" ht="22" customHeight="1">
      <c r="A55" s="54" t="inlineStr">
        <is>
          <t>MMD-ILU-0136</t>
        </is>
      </c>
      <c r="B55" s="79" t="inlineStr">
        <is>
          <t>ST-XQDFS24 - BLINDADA</t>
        </is>
      </c>
      <c r="C55" s="53" t="inlineStr">
        <is>
          <t>Showtech</t>
        </is>
      </c>
      <c r="D55" s="53" t="inlineStr">
        <is>
          <t>FIXA</t>
        </is>
      </c>
      <c r="E55" s="53" t="inlineStr"/>
      <c r="F55" s="53" t="inlineStr"/>
      <c r="G55" s="53" t="inlineStr">
        <is>
          <t>DISPONIVEL</t>
        </is>
      </c>
      <c r="H55" s="53" t="inlineStr">
        <is>
          <t>USADO</t>
        </is>
      </c>
      <c r="I55" s="95" t="inlineStr">
        <is>
          <t>★★☆☆☆</t>
        </is>
      </c>
      <c r="J55" s="141" t="n">
        <v>1200</v>
      </c>
      <c r="K55" s="143" t="n">
        <v>819.99</v>
      </c>
      <c r="L55" s="101">
        <f>IF(J55&gt;0,(J55-K55)/J55,"")</f>
        <v/>
      </c>
      <c r="M55" s="102" t="inlineStr"/>
    </row>
    <row r="56" ht="22" customHeight="1">
      <c r="A56" s="94" t="inlineStr">
        <is>
          <t>MMD-ILU-0137</t>
        </is>
      </c>
      <c r="B56" s="75" t="inlineStr">
        <is>
          <t>ST-XQDFS24 - BLINDADA</t>
        </is>
      </c>
      <c r="C56" s="58" t="inlineStr">
        <is>
          <t>Showtech</t>
        </is>
      </c>
      <c r="D56" s="58" t="inlineStr">
        <is>
          <t>FIXA</t>
        </is>
      </c>
      <c r="E56" s="58" t="inlineStr"/>
      <c r="F56" s="58" t="inlineStr"/>
      <c r="G56" s="58" t="inlineStr">
        <is>
          <t>DISPONIVEL</t>
        </is>
      </c>
      <c r="H56" s="58" t="inlineStr">
        <is>
          <t>USADO</t>
        </is>
      </c>
      <c r="I56" s="95" t="inlineStr">
        <is>
          <t>★★☆☆☆</t>
        </is>
      </c>
      <c r="J56" s="142" t="n">
        <v>1200</v>
      </c>
      <c r="K56" s="143" t="n">
        <v>819.99</v>
      </c>
      <c r="L56" s="98">
        <f>IF(J56&gt;0,(J56-K56)/J56,"")</f>
        <v/>
      </c>
      <c r="M56" s="99" t="inlineStr"/>
    </row>
    <row r="57" ht="22" customHeight="1">
      <c r="A57" s="54" t="inlineStr">
        <is>
          <t>MMD-ILU-0138</t>
        </is>
      </c>
      <c r="B57" s="79" t="inlineStr">
        <is>
          <t>ST-XQDFS24 - BLINDADA</t>
        </is>
      </c>
      <c r="C57" s="53" t="inlineStr">
        <is>
          <t>Showtech</t>
        </is>
      </c>
      <c r="D57" s="53" t="inlineStr">
        <is>
          <t>FIXA</t>
        </is>
      </c>
      <c r="E57" s="53" t="inlineStr"/>
      <c r="F57" s="53" t="inlineStr"/>
      <c r="G57" s="53" t="inlineStr">
        <is>
          <t>DISPONIVEL</t>
        </is>
      </c>
      <c r="H57" s="53" t="inlineStr">
        <is>
          <t>USADO</t>
        </is>
      </c>
      <c r="I57" s="95" t="inlineStr">
        <is>
          <t>★★☆☆☆</t>
        </is>
      </c>
      <c r="J57" s="141" t="n">
        <v>1200</v>
      </c>
      <c r="K57" s="143" t="n">
        <v>819.99</v>
      </c>
      <c r="L57" s="101">
        <f>IF(J57&gt;0,(J57-K57)/J57,"")</f>
        <v/>
      </c>
      <c r="M57" s="102" t="inlineStr"/>
    </row>
    <row r="58" ht="22" customHeight="1">
      <c r="A58" s="94" t="inlineStr">
        <is>
          <t>MMD-ILU-0139</t>
        </is>
      </c>
      <c r="B58" s="75" t="inlineStr">
        <is>
          <t>ST-XQDFS24 - BLINDADA</t>
        </is>
      </c>
      <c r="C58" s="58" t="inlineStr">
        <is>
          <t>Showtech</t>
        </is>
      </c>
      <c r="D58" s="58" t="inlineStr">
        <is>
          <t>FIXA</t>
        </is>
      </c>
      <c r="E58" s="58" t="inlineStr"/>
      <c r="F58" s="58" t="inlineStr"/>
      <c r="G58" s="58" t="inlineStr">
        <is>
          <t>DISPONIVEL</t>
        </is>
      </c>
      <c r="H58" s="58" t="inlineStr">
        <is>
          <t>USADO</t>
        </is>
      </c>
      <c r="I58" s="95" t="inlineStr">
        <is>
          <t>★★☆☆☆</t>
        </is>
      </c>
      <c r="J58" s="142" t="n">
        <v>1200</v>
      </c>
      <c r="K58" s="143" t="n">
        <v>819.99</v>
      </c>
      <c r="L58" s="98">
        <f>IF(J58&gt;0,(J58-K58)/J58,"")</f>
        <v/>
      </c>
      <c r="M58" s="99" t="inlineStr"/>
    </row>
    <row r="59" ht="22" customHeight="1">
      <c r="A59" s="54" t="inlineStr">
        <is>
          <t>MMD-ILU-0140</t>
        </is>
      </c>
      <c r="B59" s="79" t="inlineStr">
        <is>
          <t>ST-XQDFS24 - BLINDADA</t>
        </is>
      </c>
      <c r="C59" s="53" t="inlineStr">
        <is>
          <t>Showtech</t>
        </is>
      </c>
      <c r="D59" s="53" t="inlineStr">
        <is>
          <t>FIXA</t>
        </is>
      </c>
      <c r="E59" s="53" t="inlineStr"/>
      <c r="F59" s="53" t="inlineStr"/>
      <c r="G59" s="53" t="inlineStr">
        <is>
          <t>DISPONIVEL</t>
        </is>
      </c>
      <c r="H59" s="53" t="inlineStr">
        <is>
          <t>USADO</t>
        </is>
      </c>
      <c r="I59" s="95" t="inlineStr">
        <is>
          <t>★★☆☆☆</t>
        </is>
      </c>
      <c r="J59" s="141" t="n">
        <v>1200</v>
      </c>
      <c r="K59" s="143" t="n">
        <v>819.99</v>
      </c>
      <c r="L59" s="101">
        <f>IF(J59&gt;0,(J59-K59)/J59,"")</f>
        <v/>
      </c>
      <c r="M59" s="102" t="inlineStr"/>
    </row>
    <row r="60" ht="22" customHeight="1">
      <c r="A60" s="94" t="inlineStr">
        <is>
          <t>MMD-ILU-0141</t>
        </is>
      </c>
      <c r="B60" s="75" t="inlineStr">
        <is>
          <t>ST-XQDFS24 - BLINDADA</t>
        </is>
      </c>
      <c r="C60" s="58" t="inlineStr">
        <is>
          <t>Showtech</t>
        </is>
      </c>
      <c r="D60" s="58" t="inlineStr">
        <is>
          <t>FIXA</t>
        </is>
      </c>
      <c r="E60" s="58" t="inlineStr"/>
      <c r="F60" s="58" t="inlineStr"/>
      <c r="G60" s="58" t="inlineStr">
        <is>
          <t>DISPONIVEL</t>
        </is>
      </c>
      <c r="H60" s="58" t="inlineStr">
        <is>
          <t>USADO</t>
        </is>
      </c>
      <c r="I60" s="95" t="inlineStr">
        <is>
          <t>★★☆☆☆</t>
        </is>
      </c>
      <c r="J60" s="142" t="n">
        <v>1200</v>
      </c>
      <c r="K60" s="143" t="n">
        <v>819.99</v>
      </c>
      <c r="L60" s="98">
        <f>IF(J60&gt;0,(J60-K60)/J60,"")</f>
        <v/>
      </c>
      <c r="M60" s="99" t="inlineStr"/>
    </row>
    <row r="61" ht="22" customHeight="1">
      <c r="A61" s="54" t="inlineStr">
        <is>
          <t>MMD-ILU-0165</t>
        </is>
      </c>
      <c r="B61" s="79" t="inlineStr">
        <is>
          <t>BX-353 0722</t>
        </is>
      </c>
      <c r="C61" s="53" t="inlineStr">
        <is>
          <t>Briwax</t>
        </is>
      </c>
      <c r="D61" s="53" t="inlineStr">
        <is>
          <t>FIXA</t>
        </is>
      </c>
      <c r="E61" s="53" t="inlineStr"/>
      <c r="F61" s="53" t="inlineStr"/>
      <c r="G61" s="53" t="inlineStr">
        <is>
          <t>DISPONIVEL</t>
        </is>
      </c>
      <c r="H61" s="53" t="inlineStr">
        <is>
          <t>USADO</t>
        </is>
      </c>
      <c r="I61" s="95" t="inlineStr">
        <is>
          <t>★★☆☆☆</t>
        </is>
      </c>
      <c r="J61" s="141" t="n">
        <v>830</v>
      </c>
      <c r="K61" s="143" t="n">
        <v>830</v>
      </c>
      <c r="L61" s="101">
        <f>IF(J61&gt;0,(J61-K61)/J61,"")</f>
        <v/>
      </c>
      <c r="M61" s="102" t="inlineStr"/>
    </row>
    <row r="62" ht="22" customHeight="1">
      <c r="A62" s="94" t="inlineStr">
        <is>
          <t>MMD-ILU-0166</t>
        </is>
      </c>
      <c r="B62" s="75" t="inlineStr">
        <is>
          <t>BX-391 1905</t>
        </is>
      </c>
      <c r="C62" s="58" t="inlineStr">
        <is>
          <t>Briwax</t>
        </is>
      </c>
      <c r="D62" s="58" t="inlineStr">
        <is>
          <t>FIXA</t>
        </is>
      </c>
      <c r="E62" s="58" t="inlineStr"/>
      <c r="F62" s="58" t="inlineStr"/>
      <c r="G62" s="58" t="inlineStr">
        <is>
          <t>DISPONIVEL</t>
        </is>
      </c>
      <c r="H62" s="58" t="inlineStr">
        <is>
          <t>USADO</t>
        </is>
      </c>
      <c r="I62" s="95" t="inlineStr">
        <is>
          <t>★★☆☆☆</t>
        </is>
      </c>
      <c r="J62" s="142" t="n">
        <v>830</v>
      </c>
      <c r="K62" s="143" t="n">
        <v>197.88</v>
      </c>
      <c r="L62" s="98">
        <f>IF(J62&gt;0,(J62-K62)/J62,"")</f>
        <v/>
      </c>
      <c r="M62" s="99" t="inlineStr"/>
    </row>
    <row r="63" ht="22" customHeight="1">
      <c r="A63" s="54" t="inlineStr">
        <is>
          <t>MMD-ILU-0167</t>
        </is>
      </c>
      <c r="B63" s="79" t="inlineStr">
        <is>
          <t>BX-391 1905</t>
        </is>
      </c>
      <c r="C63" s="53" t="inlineStr">
        <is>
          <t>Briwax</t>
        </is>
      </c>
      <c r="D63" s="53" t="inlineStr">
        <is>
          <t>FIXA</t>
        </is>
      </c>
      <c r="E63" s="53" t="inlineStr"/>
      <c r="F63" s="53" t="inlineStr"/>
      <c r="G63" s="53" t="inlineStr">
        <is>
          <t>DISPONIVEL</t>
        </is>
      </c>
      <c r="H63" s="53" t="inlineStr">
        <is>
          <t>USADO</t>
        </is>
      </c>
      <c r="I63" s="95" t="inlineStr">
        <is>
          <t>★★☆☆☆</t>
        </is>
      </c>
      <c r="J63" s="141" t="n">
        <v>830</v>
      </c>
      <c r="K63" s="143" t="n">
        <v>197.88</v>
      </c>
      <c r="L63" s="101">
        <f>IF(J63&gt;0,(J63-K63)/J63,"")</f>
        <v/>
      </c>
      <c r="M63" s="102" t="inlineStr"/>
    </row>
    <row r="64" ht="22" customHeight="1">
      <c r="A64" s="94" t="inlineStr">
        <is>
          <t>MMD-ILU-0168</t>
        </is>
      </c>
      <c r="B64" s="75" t="inlineStr">
        <is>
          <t>SOG 01A</t>
        </is>
      </c>
      <c r="C64" s="58" t="inlineStr"/>
      <c r="D64" s="58" t="inlineStr">
        <is>
          <t>FIXA</t>
        </is>
      </c>
      <c r="E64" s="58" t="inlineStr"/>
      <c r="F64" s="58" t="inlineStr"/>
      <c r="G64" s="58" t="inlineStr">
        <is>
          <t>DISPONIVEL</t>
        </is>
      </c>
      <c r="H64" s="58" t="inlineStr">
        <is>
          <t>USADO</t>
        </is>
      </c>
      <c r="I64" s="95" t="inlineStr">
        <is>
          <t>★★☆☆☆</t>
        </is>
      </c>
      <c r="J64" s="142" t="n">
        <v>1015</v>
      </c>
      <c r="K64" s="143" t="n">
        <v>508.94</v>
      </c>
      <c r="L64" s="98">
        <f>IF(J64&gt;0,(J64-K64)/J64,"")</f>
        <v/>
      </c>
      <c r="M64" s="99" t="inlineStr"/>
    </row>
    <row r="65" ht="22" customHeight="1">
      <c r="A65" s="54" t="inlineStr">
        <is>
          <t>MMD-ILU-0169</t>
        </is>
      </c>
      <c r="B65" s="79" t="inlineStr">
        <is>
          <t>SOG 01A</t>
        </is>
      </c>
      <c r="C65" s="53" t="inlineStr"/>
      <c r="D65" s="53" t="inlineStr">
        <is>
          <t>FIXA</t>
        </is>
      </c>
      <c r="E65" s="53" t="inlineStr"/>
      <c r="F65" s="53" t="inlineStr"/>
      <c r="G65" s="53" t="inlineStr">
        <is>
          <t>DISPONIVEL</t>
        </is>
      </c>
      <c r="H65" s="53" t="inlineStr">
        <is>
          <t>USADO</t>
        </is>
      </c>
      <c r="I65" s="95" t="inlineStr">
        <is>
          <t>★★☆☆☆</t>
        </is>
      </c>
      <c r="J65" s="141" t="n">
        <v>1015</v>
      </c>
      <c r="K65" s="143" t="n">
        <v>508.94</v>
      </c>
      <c r="L65" s="101">
        <f>IF(J65&gt;0,(J65-K65)/J65,"")</f>
        <v/>
      </c>
      <c r="M65" s="102" t="inlineStr"/>
    </row>
    <row r="66" ht="22" customHeight="1">
      <c r="A66" s="94" t="inlineStr">
        <is>
          <t>MMD-ILU-0170</t>
        </is>
      </c>
      <c r="B66" s="75" t="inlineStr">
        <is>
          <t>SOG 01A</t>
        </is>
      </c>
      <c r="C66" s="58" t="inlineStr"/>
      <c r="D66" s="58" t="inlineStr">
        <is>
          <t>FIXA</t>
        </is>
      </c>
      <c r="E66" s="58" t="inlineStr"/>
      <c r="F66" s="58" t="inlineStr"/>
      <c r="G66" s="58" t="inlineStr">
        <is>
          <t>DISPONIVEL</t>
        </is>
      </c>
      <c r="H66" s="58" t="inlineStr">
        <is>
          <t>USADO</t>
        </is>
      </c>
      <c r="I66" s="95" t="inlineStr">
        <is>
          <t>★★☆☆☆</t>
        </is>
      </c>
      <c r="J66" s="142" t="n">
        <v>1015</v>
      </c>
      <c r="K66" s="143" t="n">
        <v>508.94</v>
      </c>
      <c r="L66" s="98">
        <f>IF(J66&gt;0,(J66-K66)/J66,"")</f>
        <v/>
      </c>
      <c r="M66" s="99" t="inlineStr"/>
    </row>
    <row r="67" ht="22" customHeight="1">
      <c r="A67" s="54" t="inlineStr">
        <is>
          <t>MMD-ILU-0188</t>
        </is>
      </c>
      <c r="B67" s="79" t="inlineStr">
        <is>
          <t>BX-353 0722</t>
        </is>
      </c>
      <c r="C67" s="53" t="inlineStr">
        <is>
          <t>Briwax</t>
        </is>
      </c>
      <c r="D67" s="53" t="inlineStr">
        <is>
          <t>FIXA</t>
        </is>
      </c>
      <c r="E67" s="53" t="inlineStr"/>
      <c r="F67" s="53" t="inlineStr"/>
      <c r="G67" s="53" t="inlineStr">
        <is>
          <t>DISPONIVEL</t>
        </is>
      </c>
      <c r="H67" s="53" t="inlineStr">
        <is>
          <t>USADO</t>
        </is>
      </c>
      <c r="I67" s="95" t="inlineStr">
        <is>
          <t>★★☆☆☆</t>
        </is>
      </c>
      <c r="J67" s="141" t="n">
        <v>830</v>
      </c>
      <c r="K67" s="143" t="n">
        <v>830</v>
      </c>
      <c r="L67" s="101">
        <f>IF(J67&gt;0,(J67-K67)/J67,"")</f>
        <v/>
      </c>
      <c r="M67" s="102" t="inlineStr"/>
    </row>
    <row r="68" ht="22" customHeight="1">
      <c r="A68" s="94" t="inlineStr">
        <is>
          <t>MMD-ILU-0189</t>
        </is>
      </c>
      <c r="B68" s="75" t="inlineStr">
        <is>
          <t>BX-353 0722</t>
        </is>
      </c>
      <c r="C68" s="58" t="inlineStr">
        <is>
          <t>Briwax</t>
        </is>
      </c>
      <c r="D68" s="58" t="inlineStr">
        <is>
          <t>FIXA</t>
        </is>
      </c>
      <c r="E68" s="58" t="inlineStr"/>
      <c r="F68" s="58" t="inlineStr"/>
      <c r="G68" s="58" t="inlineStr">
        <is>
          <t>DISPONIVEL</t>
        </is>
      </c>
      <c r="H68" s="58" t="inlineStr">
        <is>
          <t>USADO</t>
        </is>
      </c>
      <c r="I68" s="95" t="inlineStr">
        <is>
          <t>★★☆☆☆</t>
        </is>
      </c>
      <c r="J68" s="142" t="n">
        <v>830</v>
      </c>
      <c r="K68" s="143" t="n">
        <v>830</v>
      </c>
      <c r="L68" s="98">
        <f>IF(J68&gt;0,(J68-K68)/J68,"")</f>
        <v/>
      </c>
      <c r="M68" s="99" t="inlineStr"/>
    </row>
    <row r="69" ht="22" customHeight="1">
      <c r="A69" s="54" t="inlineStr">
        <is>
          <t>MMD-ILU-0190</t>
        </is>
      </c>
      <c r="B69" s="79" t="inlineStr">
        <is>
          <t>BX-391 1905</t>
        </is>
      </c>
      <c r="C69" s="53" t="inlineStr">
        <is>
          <t>Briwax</t>
        </is>
      </c>
      <c r="D69" s="53" t="inlineStr">
        <is>
          <t>FIXA</t>
        </is>
      </c>
      <c r="E69" s="53" t="inlineStr"/>
      <c r="F69" s="53" t="inlineStr"/>
      <c r="G69" s="53" t="inlineStr">
        <is>
          <t>DISPONIVEL</t>
        </is>
      </c>
      <c r="H69" s="53" t="inlineStr">
        <is>
          <t>USADO</t>
        </is>
      </c>
      <c r="I69" s="95" t="inlineStr">
        <is>
          <t>★★☆☆☆</t>
        </is>
      </c>
      <c r="J69" s="141" t="n">
        <v>830</v>
      </c>
      <c r="K69" s="143" t="n">
        <v>197.88</v>
      </c>
      <c r="L69" s="101">
        <f>IF(J69&gt;0,(J69-K69)/J69,"")</f>
        <v/>
      </c>
      <c r="M69" s="102" t="inlineStr"/>
    </row>
    <row r="70" ht="24" customHeight="1">
      <c r="A70" s="92" t="inlineStr">
        <is>
          <t xml:space="preserve">  INDOOR  (75)</t>
        </is>
      </c>
    </row>
    <row r="71" ht="22" customHeight="1">
      <c r="A71" s="94" t="inlineStr">
        <is>
          <t>MMD-ILU-0013</t>
        </is>
      </c>
      <c r="B71" s="75" t="inlineStr">
        <is>
          <t>XXXX</t>
        </is>
      </c>
      <c r="C71" s="58" t="inlineStr">
        <is>
          <t>Aura</t>
        </is>
      </c>
      <c r="D71" s="58" t="inlineStr">
        <is>
          <t>INDOOR</t>
        </is>
      </c>
      <c r="E71" s="58" t="inlineStr"/>
      <c r="F71" s="58" t="inlineStr"/>
      <c r="G71" s="58" t="inlineStr">
        <is>
          <t>DISPONIVEL</t>
        </is>
      </c>
      <c r="H71" s="58" t="inlineStr">
        <is>
          <t>USADO</t>
        </is>
      </c>
      <c r="I71" s="95" t="inlineStr">
        <is>
          <t>★★☆☆☆</t>
        </is>
      </c>
      <c r="J71" s="142" t="n">
        <v>450</v>
      </c>
      <c r="K71" s="143" t="n">
        <v>560</v>
      </c>
      <c r="L71" s="98">
        <f>IF(J71&gt;0,(J71-K71)/J71,"")</f>
        <v/>
      </c>
      <c r="M71" s="99" t="inlineStr"/>
    </row>
    <row r="72" ht="22" customHeight="1">
      <c r="A72" s="54" t="inlineStr">
        <is>
          <t>MMD-ILU-0019</t>
        </is>
      </c>
      <c r="B72" s="79" t="inlineStr">
        <is>
          <t>BX-432 0922</t>
        </is>
      </c>
      <c r="C72" s="53" t="inlineStr">
        <is>
          <t>Briwax</t>
        </is>
      </c>
      <c r="D72" s="53" t="inlineStr">
        <is>
          <t>INDOOR</t>
        </is>
      </c>
      <c r="E72" s="53" t="inlineStr"/>
      <c r="F72" s="53" t="inlineStr"/>
      <c r="G72" s="53" t="inlineStr">
        <is>
          <t>DISPONIVEL</t>
        </is>
      </c>
      <c r="H72" s="53" t="inlineStr">
        <is>
          <t>USADO</t>
        </is>
      </c>
      <c r="I72" s="95" t="inlineStr">
        <is>
          <t>★★☆☆☆</t>
        </is>
      </c>
      <c r="J72" s="141" t="n">
        <v>320</v>
      </c>
      <c r="K72" s="143" t="n">
        <v>320</v>
      </c>
      <c r="L72" s="101">
        <f>IF(J72&gt;0,(J72-K72)/J72,"")</f>
        <v/>
      </c>
      <c r="M72" s="102" t="inlineStr"/>
    </row>
    <row r="73" ht="22" customHeight="1">
      <c r="A73" s="94" t="inlineStr">
        <is>
          <t>MMD-ILU-0020</t>
        </is>
      </c>
      <c r="B73" s="75" t="inlineStr">
        <is>
          <t>BX-432 0922</t>
        </is>
      </c>
      <c r="C73" s="58" t="inlineStr">
        <is>
          <t>Briwax</t>
        </is>
      </c>
      <c r="D73" s="58" t="inlineStr">
        <is>
          <t>INDOOR</t>
        </is>
      </c>
      <c r="E73" s="58" t="inlineStr"/>
      <c r="F73" s="58" t="inlineStr"/>
      <c r="G73" s="58" t="inlineStr">
        <is>
          <t>DISPONIVEL</t>
        </is>
      </c>
      <c r="H73" s="58" t="inlineStr">
        <is>
          <t>USADO</t>
        </is>
      </c>
      <c r="I73" s="95" t="inlineStr">
        <is>
          <t>★★☆☆☆</t>
        </is>
      </c>
      <c r="J73" s="142" t="n">
        <v>320</v>
      </c>
      <c r="K73" s="143" t="n">
        <v>320</v>
      </c>
      <c r="L73" s="98">
        <f>IF(J73&gt;0,(J73-K73)/J73,"")</f>
        <v/>
      </c>
      <c r="M73" s="99" t="inlineStr"/>
    </row>
    <row r="74" ht="22" customHeight="1">
      <c r="A74" s="54" t="inlineStr">
        <is>
          <t>MMD-ILU-0021</t>
        </is>
      </c>
      <c r="B74" s="79" t="inlineStr">
        <is>
          <t>LED PAR 64 SLIM RGB</t>
        </is>
      </c>
      <c r="C74" s="53" t="inlineStr">
        <is>
          <t>Aura</t>
        </is>
      </c>
      <c r="D74" s="53" t="inlineStr">
        <is>
          <t>INDOOR</t>
        </is>
      </c>
      <c r="E74" s="53" t="inlineStr"/>
      <c r="F74" s="53" t="inlineStr"/>
      <c r="G74" s="53" t="inlineStr">
        <is>
          <t>DISPONIVEL</t>
        </is>
      </c>
      <c r="H74" s="53" t="inlineStr">
        <is>
          <t>USADO</t>
        </is>
      </c>
      <c r="I74" s="95" t="inlineStr">
        <is>
          <t>★★☆☆☆</t>
        </is>
      </c>
      <c r="J74" s="141" t="n">
        <v>450</v>
      </c>
      <c r="K74" s="143" t="n">
        <v>560</v>
      </c>
      <c r="L74" s="101">
        <f>IF(J74&gt;0,(J74-K74)/J74,"")</f>
        <v/>
      </c>
      <c r="M74" s="102" t="inlineStr"/>
    </row>
    <row r="75" ht="22" customHeight="1">
      <c r="A75" s="94" t="inlineStr">
        <is>
          <t>MMD-ILU-0022</t>
        </is>
      </c>
      <c r="B75" s="75" t="inlineStr">
        <is>
          <t>ST-184N1</t>
        </is>
      </c>
      <c r="C75" s="58" t="inlineStr">
        <is>
          <t>Showtech</t>
        </is>
      </c>
      <c r="D75" s="58" t="inlineStr">
        <is>
          <t>INDOOR</t>
        </is>
      </c>
      <c r="E75" s="58" t="inlineStr">
        <is>
          <t>909348360</t>
        </is>
      </c>
      <c r="F75" s="58" t="inlineStr"/>
      <c r="G75" s="58" t="inlineStr">
        <is>
          <t>DISPONIVEL</t>
        </is>
      </c>
      <c r="H75" s="58" t="inlineStr">
        <is>
          <t>USADO</t>
        </is>
      </c>
      <c r="I75" s="95" t="inlineStr">
        <is>
          <t>★★☆☆☆</t>
        </is>
      </c>
      <c r="J75" s="142" t="n">
        <v>289</v>
      </c>
      <c r="K75" s="143" t="n">
        <v>289</v>
      </c>
      <c r="L75" s="98">
        <f>IF(J75&gt;0,(J75-K75)/J75,"")</f>
        <v/>
      </c>
      <c r="M75" s="99" t="inlineStr"/>
    </row>
    <row r="76" ht="22" customHeight="1">
      <c r="A76" s="54" t="inlineStr">
        <is>
          <t>MMD-ILU-0024</t>
        </is>
      </c>
      <c r="B76" s="79" t="inlineStr">
        <is>
          <t>BX-325 1810</t>
        </is>
      </c>
      <c r="C76" s="53" t="inlineStr">
        <is>
          <t>Briwax</t>
        </is>
      </c>
      <c r="D76" s="53" t="inlineStr">
        <is>
          <t>INDOOR</t>
        </is>
      </c>
      <c r="E76" s="53" t="inlineStr"/>
      <c r="F76" s="53" t="inlineStr"/>
      <c r="G76" s="53" t="inlineStr">
        <is>
          <t>DISPONIVEL</t>
        </is>
      </c>
      <c r="H76" s="53" t="inlineStr">
        <is>
          <t>USADO</t>
        </is>
      </c>
      <c r="I76" s="95" t="inlineStr">
        <is>
          <t>★★☆☆☆</t>
        </is>
      </c>
      <c r="J76" s="141" t="n">
        <v>660</v>
      </c>
      <c r="K76" s="143" t="n">
        <v>290</v>
      </c>
      <c r="L76" s="101">
        <f>IF(J76&gt;0,(J76-K76)/J76,"")</f>
        <v/>
      </c>
      <c r="M76" s="102" t="inlineStr"/>
    </row>
    <row r="77" ht="22" customHeight="1">
      <c r="A77" s="94" t="inlineStr">
        <is>
          <t>MMD-ILU-0025</t>
        </is>
      </c>
      <c r="B77" s="75" t="inlineStr">
        <is>
          <t>BX-325 1810</t>
        </is>
      </c>
      <c r="C77" s="58" t="inlineStr">
        <is>
          <t>Briwax</t>
        </is>
      </c>
      <c r="D77" s="58" t="inlineStr">
        <is>
          <t>INDOOR</t>
        </is>
      </c>
      <c r="E77" s="58" t="inlineStr"/>
      <c r="F77" s="58" t="inlineStr"/>
      <c r="G77" s="58" t="inlineStr">
        <is>
          <t>DISPONIVEL</t>
        </is>
      </c>
      <c r="H77" s="58" t="inlineStr">
        <is>
          <t>USADO</t>
        </is>
      </c>
      <c r="I77" s="95" t="inlineStr">
        <is>
          <t>★★☆☆☆</t>
        </is>
      </c>
      <c r="J77" s="142" t="n">
        <v>660</v>
      </c>
      <c r="K77" s="143" t="n">
        <v>290</v>
      </c>
      <c r="L77" s="98">
        <f>IF(J77&gt;0,(J77-K77)/J77,"")</f>
        <v/>
      </c>
      <c r="M77" s="99" t="inlineStr"/>
    </row>
    <row r="78" ht="22" customHeight="1">
      <c r="A78" s="54" t="inlineStr">
        <is>
          <t>MMD-ILU-0026</t>
        </is>
      </c>
      <c r="B78" s="79" t="inlineStr">
        <is>
          <t>BX-325 1810</t>
        </is>
      </c>
      <c r="C78" s="53" t="inlineStr">
        <is>
          <t>Briwax</t>
        </is>
      </c>
      <c r="D78" s="53" t="inlineStr">
        <is>
          <t>INDOOR</t>
        </is>
      </c>
      <c r="E78" s="53" t="inlineStr"/>
      <c r="F78" s="53" t="inlineStr"/>
      <c r="G78" s="53" t="inlineStr">
        <is>
          <t>DISPONIVEL</t>
        </is>
      </c>
      <c r="H78" s="53" t="inlineStr">
        <is>
          <t>USADO</t>
        </is>
      </c>
      <c r="I78" s="95" t="inlineStr">
        <is>
          <t>★★☆☆☆</t>
        </is>
      </c>
      <c r="J78" s="141" t="n">
        <v>660</v>
      </c>
      <c r="K78" s="143" t="n">
        <v>290</v>
      </c>
      <c r="L78" s="101">
        <f>IF(J78&gt;0,(J78-K78)/J78,"")</f>
        <v/>
      </c>
      <c r="M78" s="102" t="inlineStr"/>
    </row>
    <row r="79" ht="22" customHeight="1">
      <c r="A79" s="94" t="inlineStr">
        <is>
          <t>MMD-ILU-0027</t>
        </is>
      </c>
      <c r="B79" s="75" t="inlineStr">
        <is>
          <t>BX-850 1905</t>
        </is>
      </c>
      <c r="C79" s="58" t="inlineStr">
        <is>
          <t>Briwax</t>
        </is>
      </c>
      <c r="D79" s="58" t="inlineStr">
        <is>
          <t>INDOOR</t>
        </is>
      </c>
      <c r="E79" s="58" t="inlineStr"/>
      <c r="F79" s="58" t="inlineStr"/>
      <c r="G79" s="58" t="inlineStr">
        <is>
          <t>DISPONIVEL</t>
        </is>
      </c>
      <c r="H79" s="58" t="inlineStr">
        <is>
          <t>USADO</t>
        </is>
      </c>
      <c r="I79" s="95" t="inlineStr">
        <is>
          <t>★★☆☆☆</t>
        </is>
      </c>
      <c r="J79" s="142" t="n">
        <v>450</v>
      </c>
      <c r="K79" s="143" t="n">
        <v>320</v>
      </c>
      <c r="L79" s="98">
        <f>IF(J79&gt;0,(J79-K79)/J79,"")</f>
        <v/>
      </c>
      <c r="M79" s="99" t="inlineStr"/>
    </row>
    <row r="80" ht="22" customHeight="1">
      <c r="A80" s="54" t="inlineStr">
        <is>
          <t>MMD-ILU-0028</t>
        </is>
      </c>
      <c r="B80" s="79" t="inlineStr">
        <is>
          <t>BX-850 1905</t>
        </is>
      </c>
      <c r="C80" s="53" t="inlineStr">
        <is>
          <t>Briwax</t>
        </is>
      </c>
      <c r="D80" s="53" t="inlineStr">
        <is>
          <t>INDOOR</t>
        </is>
      </c>
      <c r="E80" s="53" t="inlineStr"/>
      <c r="F80" s="53" t="inlineStr"/>
      <c r="G80" s="53" t="inlineStr">
        <is>
          <t>DISPONIVEL</t>
        </is>
      </c>
      <c r="H80" s="53" t="inlineStr">
        <is>
          <t>USADO</t>
        </is>
      </c>
      <c r="I80" s="95" t="inlineStr">
        <is>
          <t>★★☆☆☆</t>
        </is>
      </c>
      <c r="J80" s="141" t="n">
        <v>450</v>
      </c>
      <c r="K80" s="143" t="n">
        <v>320</v>
      </c>
      <c r="L80" s="101">
        <f>IF(J80&gt;0,(J80-K80)/J80,"")</f>
        <v/>
      </c>
      <c r="M80" s="102" t="inlineStr"/>
    </row>
    <row r="81" ht="22" customHeight="1">
      <c r="A81" s="94" t="inlineStr">
        <is>
          <t>MMD-ILU-0029</t>
        </is>
      </c>
      <c r="B81" s="75" t="inlineStr">
        <is>
          <t>BX-850 1905</t>
        </is>
      </c>
      <c r="C81" s="58" t="inlineStr">
        <is>
          <t>Briwax</t>
        </is>
      </c>
      <c r="D81" s="58" t="inlineStr">
        <is>
          <t>INDOOR</t>
        </is>
      </c>
      <c r="E81" s="58" t="inlineStr"/>
      <c r="F81" s="58" t="inlineStr"/>
      <c r="G81" s="58" t="inlineStr">
        <is>
          <t>DISPONIVEL</t>
        </is>
      </c>
      <c r="H81" s="58" t="inlineStr">
        <is>
          <t>USADO</t>
        </is>
      </c>
      <c r="I81" s="95" t="inlineStr">
        <is>
          <t>★★☆☆☆</t>
        </is>
      </c>
      <c r="J81" s="142" t="n">
        <v>450</v>
      </c>
      <c r="K81" s="143" t="n">
        <v>320</v>
      </c>
      <c r="L81" s="98">
        <f>IF(J81&gt;0,(J81-K81)/J81,"")</f>
        <v/>
      </c>
      <c r="M81" s="99" t="inlineStr"/>
    </row>
    <row r="82" ht="22" customHeight="1">
      <c r="A82" s="54" t="inlineStr">
        <is>
          <t>MMD-ILU-0030</t>
        </is>
      </c>
      <c r="B82" s="79" t="inlineStr">
        <is>
          <t>BX-850 1908</t>
        </is>
      </c>
      <c r="C82" s="53" t="inlineStr">
        <is>
          <t>Briwax</t>
        </is>
      </c>
      <c r="D82" s="53" t="inlineStr">
        <is>
          <t>INDOOR</t>
        </is>
      </c>
      <c r="E82" s="53" t="inlineStr"/>
      <c r="F82" s="53" t="inlineStr"/>
      <c r="G82" s="53" t="inlineStr">
        <is>
          <t>DISPONIVEL</t>
        </is>
      </c>
      <c r="H82" s="53" t="inlineStr">
        <is>
          <t>USADO</t>
        </is>
      </c>
      <c r="I82" s="95" t="inlineStr">
        <is>
          <t>★★☆☆☆</t>
        </is>
      </c>
      <c r="J82" s="141" t="n">
        <v>450</v>
      </c>
      <c r="K82" s="143" t="n">
        <v>320</v>
      </c>
      <c r="L82" s="101">
        <f>IF(J82&gt;0,(J82-K82)/J82,"")</f>
        <v/>
      </c>
      <c r="M82" s="102" t="inlineStr"/>
    </row>
    <row r="83" ht="22" customHeight="1">
      <c r="A83" s="94" t="inlineStr">
        <is>
          <t>MMD-ILU-0031</t>
        </is>
      </c>
      <c r="B83" s="75" t="inlineStr">
        <is>
          <t>BX-404 0822</t>
        </is>
      </c>
      <c r="C83" s="58" t="inlineStr">
        <is>
          <t>Briwax</t>
        </is>
      </c>
      <c r="D83" s="58" t="inlineStr">
        <is>
          <t>INDOOR</t>
        </is>
      </c>
      <c r="E83" s="58" t="inlineStr"/>
      <c r="F83" s="58" t="inlineStr"/>
      <c r="G83" s="58" t="inlineStr">
        <is>
          <t>DISPONIVEL</t>
        </is>
      </c>
      <c r="H83" s="58" t="inlineStr">
        <is>
          <t>USADO</t>
        </is>
      </c>
      <c r="I83" s="95" t="inlineStr">
        <is>
          <t>★★☆☆☆</t>
        </is>
      </c>
      <c r="J83" s="142" t="n">
        <v>450</v>
      </c>
      <c r="K83" s="143" t="n">
        <v>320</v>
      </c>
      <c r="L83" s="98">
        <f>IF(J83&gt;0,(J83-K83)/J83,"")</f>
        <v/>
      </c>
      <c r="M83" s="99" t="inlineStr"/>
    </row>
    <row r="84" ht="22" customHeight="1">
      <c r="A84" s="54" t="inlineStr">
        <is>
          <t>MMD-ILU-0033</t>
        </is>
      </c>
      <c r="B84" s="79" t="inlineStr">
        <is>
          <t>LED FLAT PAR 64 RGB II</t>
        </is>
      </c>
      <c r="C84" s="53" t="inlineStr">
        <is>
          <t>Aura</t>
        </is>
      </c>
      <c r="D84" s="53" t="inlineStr">
        <is>
          <t>INDOOR</t>
        </is>
      </c>
      <c r="E84" s="53" t="inlineStr"/>
      <c r="F84" s="53" t="inlineStr"/>
      <c r="G84" s="53" t="inlineStr">
        <is>
          <t>DISPONIVEL</t>
        </is>
      </c>
      <c r="H84" s="53" t="inlineStr">
        <is>
          <t>USADO</t>
        </is>
      </c>
      <c r="I84" s="95" t="inlineStr">
        <is>
          <t>★★☆☆☆</t>
        </is>
      </c>
      <c r="J84" s="141" t="n">
        <v>450</v>
      </c>
      <c r="K84" s="143" t="n">
        <v>560</v>
      </c>
      <c r="L84" s="101">
        <f>IF(J84&gt;0,(J84-K84)/J84,"")</f>
        <v/>
      </c>
      <c r="M84" s="102" t="inlineStr"/>
    </row>
    <row r="85" ht="22" customHeight="1">
      <c r="A85" s="94" t="inlineStr">
        <is>
          <t>MMD-ILU-0035</t>
        </is>
      </c>
      <c r="B85" s="75" t="inlineStr">
        <is>
          <t>BX-432 0922</t>
        </is>
      </c>
      <c r="C85" s="58" t="inlineStr">
        <is>
          <t>Briwax</t>
        </is>
      </c>
      <c r="D85" s="58" t="inlineStr">
        <is>
          <t>INDOOR</t>
        </is>
      </c>
      <c r="E85" s="58" t="inlineStr"/>
      <c r="F85" s="58" t="inlineStr"/>
      <c r="G85" s="58" t="inlineStr">
        <is>
          <t>DISPONIVEL</t>
        </is>
      </c>
      <c r="H85" s="58" t="inlineStr">
        <is>
          <t>USADO</t>
        </is>
      </c>
      <c r="I85" s="95" t="inlineStr">
        <is>
          <t>★★☆☆☆</t>
        </is>
      </c>
      <c r="J85" s="142" t="n">
        <v>320</v>
      </c>
      <c r="K85" s="143" t="n">
        <v>320</v>
      </c>
      <c r="L85" s="98">
        <f>IF(J85&gt;0,(J85-K85)/J85,"")</f>
        <v/>
      </c>
      <c r="M85" s="99" t="inlineStr"/>
    </row>
    <row r="86" ht="22" customHeight="1">
      <c r="A86" s="54" t="inlineStr">
        <is>
          <t>MMD-ILU-0036</t>
        </is>
      </c>
      <c r="B86" s="79" t="inlineStr">
        <is>
          <t>BX-383 1909</t>
        </is>
      </c>
      <c r="C86" s="53" t="inlineStr">
        <is>
          <t>Briwax</t>
        </is>
      </c>
      <c r="D86" s="53" t="inlineStr">
        <is>
          <t>INDOOR</t>
        </is>
      </c>
      <c r="E86" s="53" t="inlineStr"/>
      <c r="F86" s="53" t="inlineStr"/>
      <c r="G86" s="53" t="inlineStr">
        <is>
          <t>DISPONIVEL</t>
        </is>
      </c>
      <c r="H86" s="53" t="inlineStr">
        <is>
          <t>USADO</t>
        </is>
      </c>
      <c r="I86" s="95" t="inlineStr">
        <is>
          <t>★★☆☆☆</t>
        </is>
      </c>
      <c r="J86" s="141" t="n">
        <v>450</v>
      </c>
      <c r="K86" s="143" t="n">
        <v>320</v>
      </c>
      <c r="L86" s="101">
        <f>IF(J86&gt;0,(J86-K86)/J86,"")</f>
        <v/>
      </c>
      <c r="M86" s="102" t="inlineStr"/>
    </row>
    <row r="87" ht="22" customHeight="1">
      <c r="A87" s="94" t="inlineStr">
        <is>
          <t>MMD-ILU-0037</t>
        </is>
      </c>
      <c r="B87" s="75" t="inlineStr">
        <is>
          <t>LED TRI FLOOD PAR</t>
        </is>
      </c>
      <c r="C87" s="58" t="inlineStr">
        <is>
          <t>Aura</t>
        </is>
      </c>
      <c r="D87" s="58" t="inlineStr">
        <is>
          <t>INDOOR</t>
        </is>
      </c>
      <c r="E87" s="58" t="inlineStr"/>
      <c r="F87" s="58" t="inlineStr"/>
      <c r="G87" s="58" t="inlineStr">
        <is>
          <t>DISPONIVEL</t>
        </is>
      </c>
      <c r="H87" s="58" t="inlineStr">
        <is>
          <t>USADO</t>
        </is>
      </c>
      <c r="I87" s="95" t="inlineStr">
        <is>
          <t>★★☆☆☆</t>
        </is>
      </c>
      <c r="J87" s="142" t="n">
        <v>450</v>
      </c>
      <c r="K87" s="143" t="n">
        <v>560</v>
      </c>
      <c r="L87" s="98">
        <f>IF(J87&gt;0,(J87-K87)/J87,"")</f>
        <v/>
      </c>
      <c r="M87" s="99" t="inlineStr"/>
    </row>
    <row r="88" ht="22" customHeight="1">
      <c r="A88" s="54" t="inlineStr">
        <is>
          <t>MMD-ILU-0039</t>
        </is>
      </c>
      <c r="B88" s="79" t="inlineStr">
        <is>
          <t>FLATTRITEC LED-1026</t>
        </is>
      </c>
      <c r="C88" s="53" t="inlineStr">
        <is>
          <t>American PRO</t>
        </is>
      </c>
      <c r="D88" s="53" t="inlineStr">
        <is>
          <t>INDOOR</t>
        </is>
      </c>
      <c r="E88" s="53" t="inlineStr">
        <is>
          <t>FTL-102683</t>
        </is>
      </c>
      <c r="F88" s="53" t="inlineStr"/>
      <c r="G88" s="53" t="inlineStr">
        <is>
          <t>DISPONIVEL</t>
        </is>
      </c>
      <c r="H88" s="53" t="inlineStr">
        <is>
          <t>USADO</t>
        </is>
      </c>
      <c r="I88" s="95" t="inlineStr">
        <is>
          <t>★★☆☆☆</t>
        </is>
      </c>
      <c r="J88" s="141" t="n">
        <v>450</v>
      </c>
      <c r="K88" s="143" t="n">
        <v>450</v>
      </c>
      <c r="L88" s="101">
        <f>IF(J88&gt;0,(J88-K88)/J88,"")</f>
        <v/>
      </c>
      <c r="M88" s="102" t="inlineStr"/>
    </row>
    <row r="89" ht="22" customHeight="1">
      <c r="A89" s="94" t="inlineStr">
        <is>
          <t>MMD-ILU-0040</t>
        </is>
      </c>
      <c r="B89" s="75" t="inlineStr">
        <is>
          <t>FLATTRITEC LED-1026</t>
        </is>
      </c>
      <c r="C89" s="58" t="inlineStr">
        <is>
          <t>American PRO</t>
        </is>
      </c>
      <c r="D89" s="58" t="inlineStr">
        <is>
          <t>INDOOR</t>
        </is>
      </c>
      <c r="E89" s="58" t="inlineStr">
        <is>
          <t>FTL-102676</t>
        </is>
      </c>
      <c r="F89" s="58" t="inlineStr"/>
      <c r="G89" s="58" t="inlineStr">
        <is>
          <t>DISPONIVEL</t>
        </is>
      </c>
      <c r="H89" s="58" t="inlineStr">
        <is>
          <t>USADO</t>
        </is>
      </c>
      <c r="I89" s="95" t="inlineStr">
        <is>
          <t>★★☆☆☆</t>
        </is>
      </c>
      <c r="J89" s="142" t="n">
        <v>450</v>
      </c>
      <c r="K89" s="143" t="n">
        <v>450</v>
      </c>
      <c r="L89" s="98">
        <f>IF(J89&gt;0,(J89-K89)/J89,"")</f>
        <v/>
      </c>
      <c r="M89" s="99" t="inlineStr"/>
    </row>
    <row r="90" ht="22" customHeight="1">
      <c r="A90" s="54" t="inlineStr">
        <is>
          <t>MMD-ILU-0156</t>
        </is>
      </c>
      <c r="B90" s="79" t="inlineStr">
        <is>
          <t>NEO NE-117C</t>
        </is>
      </c>
      <c r="C90" s="53" t="inlineStr"/>
      <c r="D90" s="53" t="inlineStr">
        <is>
          <t>INDOOR</t>
        </is>
      </c>
      <c r="E90" s="53" t="inlineStr"/>
      <c r="F90" s="53" t="inlineStr"/>
      <c r="G90" s="53" t="inlineStr">
        <is>
          <t>DISPONIVEL</t>
        </is>
      </c>
      <c r="H90" s="53" t="inlineStr">
        <is>
          <t>USADO</t>
        </is>
      </c>
      <c r="I90" s="95" t="inlineStr">
        <is>
          <t>★★☆☆☆</t>
        </is>
      </c>
      <c r="J90" s="141" t="n">
        <v>171</v>
      </c>
      <c r="K90" s="143" t="n">
        <v>171</v>
      </c>
      <c r="L90" s="101">
        <f>IF(J90&gt;0,(J90-K90)/J90,"")</f>
        <v/>
      </c>
      <c r="M90" s="102" t="inlineStr"/>
    </row>
    <row r="91" ht="22" customHeight="1">
      <c r="A91" s="94" t="inlineStr">
        <is>
          <t>MMD-ILU-0157</t>
        </is>
      </c>
      <c r="B91" s="75" t="inlineStr">
        <is>
          <t>ILUMINAÇÃO PROFESSIONAL</t>
        </is>
      </c>
      <c r="C91" s="58" t="inlineStr">
        <is>
          <t>NEW Star</t>
        </is>
      </c>
      <c r="D91" s="58" t="inlineStr">
        <is>
          <t>INDOOR</t>
        </is>
      </c>
      <c r="E91" s="58" t="inlineStr"/>
      <c r="F91" s="58" t="inlineStr"/>
      <c r="G91" s="58" t="inlineStr">
        <is>
          <t>DISPONIVEL</t>
        </is>
      </c>
      <c r="H91" s="58" t="inlineStr">
        <is>
          <t>USADO</t>
        </is>
      </c>
      <c r="I91" s="95" t="inlineStr">
        <is>
          <t>★★☆☆☆</t>
        </is>
      </c>
      <c r="J91" s="142" t="n">
        <v>450</v>
      </c>
      <c r="K91" s="143" t="n">
        <v>450</v>
      </c>
      <c r="L91" s="98">
        <f>IF(J91&gt;0,(J91-K91)/J91,"")</f>
        <v/>
      </c>
      <c r="M91" s="99" t="inlineStr"/>
    </row>
    <row r="92" ht="22" customHeight="1">
      <c r="A92" s="54" t="inlineStr">
        <is>
          <t>MMD-ILU-0158</t>
        </is>
      </c>
      <c r="B92" s="79" t="inlineStr">
        <is>
          <t>Mega Light</t>
        </is>
      </c>
      <c r="C92" s="53" t="inlineStr">
        <is>
          <t>Mega Light</t>
        </is>
      </c>
      <c r="D92" s="53" t="inlineStr">
        <is>
          <t>INDOOR</t>
        </is>
      </c>
      <c r="E92" s="53" t="inlineStr"/>
      <c r="F92" s="53" t="inlineStr"/>
      <c r="G92" s="53" t="inlineStr">
        <is>
          <t>DISPONIVEL</t>
        </is>
      </c>
      <c r="H92" s="53" t="inlineStr">
        <is>
          <t>USADO</t>
        </is>
      </c>
      <c r="I92" s="95" t="inlineStr">
        <is>
          <t>★★☆☆☆</t>
        </is>
      </c>
      <c r="J92" s="141" t="n">
        <v>450</v>
      </c>
      <c r="K92" s="143" t="n">
        <v>450</v>
      </c>
      <c r="L92" s="101">
        <f>IF(J92&gt;0,(J92-K92)/J92,"")</f>
        <v/>
      </c>
      <c r="M92" s="102" t="inlineStr"/>
    </row>
    <row r="93" ht="22" customHeight="1">
      <c r="A93" s="94" t="inlineStr">
        <is>
          <t>MMD-ILU-0159</t>
        </is>
      </c>
      <c r="B93" s="75" t="inlineStr">
        <is>
          <t>MEGALIGHT NE-117G-I</t>
        </is>
      </c>
      <c r="C93" s="58" t="inlineStr">
        <is>
          <t>BDL</t>
        </is>
      </c>
      <c r="D93" s="58" t="inlineStr">
        <is>
          <t>INDOOR</t>
        </is>
      </c>
      <c r="E93" s="58" t="inlineStr"/>
      <c r="F93" s="58" t="inlineStr"/>
      <c r="G93" s="58" t="inlineStr">
        <is>
          <t>DISPONIVEL</t>
        </is>
      </c>
      <c r="H93" s="58" t="inlineStr">
        <is>
          <t>USADO</t>
        </is>
      </c>
      <c r="I93" s="95" t="inlineStr">
        <is>
          <t>★★☆☆☆</t>
        </is>
      </c>
      <c r="J93" s="142" t="n">
        <v>171</v>
      </c>
      <c r="K93" s="143" t="n">
        <v>171</v>
      </c>
      <c r="L93" s="98">
        <f>IF(J93&gt;0,(J93-K93)/J93,"")</f>
        <v/>
      </c>
      <c r="M93" s="99" t="inlineStr"/>
    </row>
    <row r="94" ht="22" customHeight="1">
      <c r="A94" s="54" t="inlineStr">
        <is>
          <t>MMD-ILU-0160</t>
        </is>
      </c>
      <c r="B94" s="79" t="inlineStr">
        <is>
          <t>Mega Light</t>
        </is>
      </c>
      <c r="C94" s="53" t="inlineStr">
        <is>
          <t>Mega Light</t>
        </is>
      </c>
      <c r="D94" s="53" t="inlineStr">
        <is>
          <t>INDOOR</t>
        </is>
      </c>
      <c r="E94" s="53" t="inlineStr"/>
      <c r="F94" s="53" t="inlineStr"/>
      <c r="G94" s="53" t="inlineStr">
        <is>
          <t>DISPONIVEL</t>
        </is>
      </c>
      <c r="H94" s="53" t="inlineStr">
        <is>
          <t>USADO</t>
        </is>
      </c>
      <c r="I94" s="95" t="inlineStr">
        <is>
          <t>★★☆☆☆</t>
        </is>
      </c>
      <c r="J94" s="141" t="n">
        <v>450</v>
      </c>
      <c r="K94" s="143" t="n">
        <v>450</v>
      </c>
      <c r="L94" s="101">
        <f>IF(J94&gt;0,(J94-K94)/J94,"")</f>
        <v/>
      </c>
      <c r="M94" s="102" t="inlineStr"/>
    </row>
    <row r="95" ht="22" customHeight="1">
      <c r="A95" s="94" t="inlineStr">
        <is>
          <t>MMD-ILU-0161</t>
        </is>
      </c>
      <c r="B95" s="75" t="inlineStr">
        <is>
          <t>NEC</t>
        </is>
      </c>
      <c r="C95" s="58" t="inlineStr">
        <is>
          <t>NEC</t>
        </is>
      </c>
      <c r="D95" s="58" t="inlineStr">
        <is>
          <t>INDOOR</t>
        </is>
      </c>
      <c r="E95" s="58" t="inlineStr"/>
      <c r="F95" s="58" t="inlineStr"/>
      <c r="G95" s="58" t="inlineStr">
        <is>
          <t>DISPONIVEL</t>
        </is>
      </c>
      <c r="H95" s="58" t="inlineStr">
        <is>
          <t>USADO</t>
        </is>
      </c>
      <c r="I95" s="95" t="inlineStr">
        <is>
          <t>★★☆☆☆</t>
        </is>
      </c>
      <c r="J95" s="142" t="n">
        <v>450</v>
      </c>
      <c r="K95" s="143" t="n">
        <v>450</v>
      </c>
      <c r="L95" s="98">
        <f>IF(J95&gt;0,(J95-K95)/J95,"")</f>
        <v/>
      </c>
      <c r="M95" s="99" t="inlineStr"/>
    </row>
    <row r="96" ht="22" customHeight="1">
      <c r="A96" s="54" t="inlineStr">
        <is>
          <t>MMD-ILU-0162</t>
        </is>
      </c>
      <c r="B96" s="79" t="inlineStr">
        <is>
          <t>Mega Light</t>
        </is>
      </c>
      <c r="C96" s="53" t="inlineStr">
        <is>
          <t>Mega Light</t>
        </is>
      </c>
      <c r="D96" s="53" t="inlineStr">
        <is>
          <t>INDOOR</t>
        </is>
      </c>
      <c r="E96" s="53" t="inlineStr"/>
      <c r="F96" s="53" t="inlineStr"/>
      <c r="G96" s="53" t="inlineStr">
        <is>
          <t>DISPONIVEL</t>
        </is>
      </c>
      <c r="H96" s="53" t="inlineStr">
        <is>
          <t>USADO</t>
        </is>
      </c>
      <c r="I96" s="95" t="inlineStr">
        <is>
          <t>★★☆☆☆</t>
        </is>
      </c>
      <c r="J96" s="141" t="n">
        <v>450</v>
      </c>
      <c r="K96" s="143" t="n">
        <v>450</v>
      </c>
      <c r="L96" s="101">
        <f>IF(J96&gt;0,(J96-K96)/J96,"")</f>
        <v/>
      </c>
      <c r="M96" s="102" t="inlineStr"/>
    </row>
    <row r="97" ht="22" customHeight="1">
      <c r="A97" s="94" t="inlineStr">
        <is>
          <t>MMD-ILU-0163</t>
        </is>
      </c>
      <c r="B97" s="75" t="inlineStr">
        <is>
          <t>Mega Light</t>
        </is>
      </c>
      <c r="C97" s="58" t="inlineStr">
        <is>
          <t>Mega Light</t>
        </is>
      </c>
      <c r="D97" s="58" t="inlineStr">
        <is>
          <t>INDOOR</t>
        </is>
      </c>
      <c r="E97" s="58" t="inlineStr"/>
      <c r="F97" s="58" t="inlineStr"/>
      <c r="G97" s="58" t="inlineStr">
        <is>
          <t>DISPONIVEL</t>
        </is>
      </c>
      <c r="H97" s="58" t="inlineStr">
        <is>
          <t>USADO</t>
        </is>
      </c>
      <c r="I97" s="95" t="inlineStr">
        <is>
          <t>★★☆☆☆</t>
        </is>
      </c>
      <c r="J97" s="142" t="n">
        <v>450</v>
      </c>
      <c r="K97" s="143" t="n">
        <v>450</v>
      </c>
      <c r="L97" s="98">
        <f>IF(J97&gt;0,(J97-K97)/J97,"")</f>
        <v/>
      </c>
      <c r="M97" s="99" t="inlineStr"/>
    </row>
    <row r="98" ht="22" customHeight="1">
      <c r="A98" s="54" t="inlineStr">
        <is>
          <t>MMD-ILU-0164</t>
        </is>
      </c>
      <c r="B98" s="79" t="inlineStr">
        <is>
          <t>Mega Light</t>
        </is>
      </c>
      <c r="C98" s="53" t="inlineStr">
        <is>
          <t>Mega Light</t>
        </is>
      </c>
      <c r="D98" s="53" t="inlineStr">
        <is>
          <t>INDOOR</t>
        </is>
      </c>
      <c r="E98" s="53" t="inlineStr"/>
      <c r="F98" s="53" t="inlineStr"/>
      <c r="G98" s="53" t="inlineStr">
        <is>
          <t>DISPONIVEL</t>
        </is>
      </c>
      <c r="H98" s="53" t="inlineStr">
        <is>
          <t>USADO</t>
        </is>
      </c>
      <c r="I98" s="95" t="inlineStr">
        <is>
          <t>★★☆☆☆</t>
        </is>
      </c>
      <c r="J98" s="141" t="n">
        <v>450</v>
      </c>
      <c r="K98" s="143" t="n">
        <v>450</v>
      </c>
      <c r="L98" s="101">
        <f>IF(J98&gt;0,(J98-K98)/J98,"")</f>
        <v/>
      </c>
      <c r="M98" s="102" t="inlineStr"/>
    </row>
    <row r="99" ht="22" customHeight="1">
      <c r="A99" s="94" t="inlineStr">
        <is>
          <t>MMD-ILU-0171</t>
        </is>
      </c>
      <c r="B99" s="75" t="inlineStr">
        <is>
          <t>S-545</t>
        </is>
      </c>
      <c r="C99" s="58" t="inlineStr">
        <is>
          <t>Chnes</t>
        </is>
      </c>
      <c r="D99" s="58" t="inlineStr">
        <is>
          <t>INDOOR</t>
        </is>
      </c>
      <c r="E99" s="58" t="inlineStr"/>
      <c r="F99" s="58" t="inlineStr"/>
      <c r="G99" s="58" t="inlineStr">
        <is>
          <t>DISPONIVEL</t>
        </is>
      </c>
      <c r="H99" s="58" t="inlineStr">
        <is>
          <t>USADO</t>
        </is>
      </c>
      <c r="I99" s="95" t="inlineStr">
        <is>
          <t>★★☆☆☆</t>
        </is>
      </c>
      <c r="J99" s="142" t="n">
        <v>450</v>
      </c>
      <c r="K99" s="143" t="n">
        <v>450</v>
      </c>
      <c r="L99" s="98">
        <f>IF(J99&gt;0,(J99-K99)/J99,"")</f>
        <v/>
      </c>
      <c r="M99" s="99" t="inlineStr"/>
    </row>
    <row r="100" ht="22" customHeight="1">
      <c r="A100" s="54" t="inlineStr">
        <is>
          <t>MMD-ILU-0172</t>
        </is>
      </c>
      <c r="B100" s="79" t="inlineStr">
        <is>
          <t>Star Light Division</t>
        </is>
      </c>
      <c r="C100" s="53" t="inlineStr">
        <is>
          <t>Star Light Division</t>
        </is>
      </c>
      <c r="D100" s="53" t="inlineStr">
        <is>
          <t>INDOOR</t>
        </is>
      </c>
      <c r="E100" s="53" t="inlineStr"/>
      <c r="F100" s="53" t="inlineStr"/>
      <c r="G100" s="53" t="inlineStr">
        <is>
          <t>DISPONIVEL</t>
        </is>
      </c>
      <c r="H100" s="53" t="inlineStr">
        <is>
          <t>USADO</t>
        </is>
      </c>
      <c r="I100" s="95" t="inlineStr">
        <is>
          <t>★★☆☆☆</t>
        </is>
      </c>
      <c r="J100" s="141" t="n">
        <v>799</v>
      </c>
      <c r="K100" s="143" t="n">
        <v>637.1799999999999</v>
      </c>
      <c r="L100" s="101">
        <f>IF(J100&gt;0,(J100-K100)/J100,"")</f>
        <v/>
      </c>
      <c r="M100" s="102" t="inlineStr"/>
    </row>
    <row r="101" ht="22" customHeight="1">
      <c r="A101" s="94" t="inlineStr">
        <is>
          <t>MMD-ILU-0191</t>
        </is>
      </c>
      <c r="B101" s="75" t="inlineStr">
        <is>
          <t>LP003</t>
        </is>
      </c>
      <c r="C101" s="58" t="inlineStr"/>
      <c r="D101" s="58" t="inlineStr">
        <is>
          <t>INDOOR</t>
        </is>
      </c>
      <c r="E101" s="58" t="inlineStr">
        <is>
          <t>LA1476966</t>
        </is>
      </c>
      <c r="F101" s="58" t="inlineStr"/>
      <c r="G101" s="58" t="inlineStr">
        <is>
          <t>DISPONIVEL</t>
        </is>
      </c>
      <c r="H101" s="58" t="inlineStr">
        <is>
          <t>USADO</t>
        </is>
      </c>
      <c r="I101" s="95" t="inlineStr">
        <is>
          <t>★★☆☆☆</t>
        </is>
      </c>
      <c r="J101" s="142" t="n">
        <v>171</v>
      </c>
      <c r="K101" s="143" t="n">
        <v>171</v>
      </c>
      <c r="L101" s="98">
        <f>IF(J101&gt;0,(J101-K101)/J101,"")</f>
        <v/>
      </c>
      <c r="M101" s="99" t="inlineStr"/>
    </row>
    <row r="102" ht="22" customHeight="1">
      <c r="A102" s="54" t="inlineStr">
        <is>
          <t>MMD-ILU-0192</t>
        </is>
      </c>
      <c r="B102" s="79" t="inlineStr">
        <is>
          <t>LED SPOT RGBW 54X3W</t>
        </is>
      </c>
      <c r="C102" s="53" t="inlineStr">
        <is>
          <t>Star Light Division</t>
        </is>
      </c>
      <c r="D102" s="53" t="inlineStr">
        <is>
          <t>INDOOR</t>
        </is>
      </c>
      <c r="E102" s="53" t="inlineStr">
        <is>
          <t>991114812</t>
        </is>
      </c>
      <c r="F102" s="53" t="inlineStr"/>
      <c r="G102" s="53" t="inlineStr">
        <is>
          <t>DISPONIVEL</t>
        </is>
      </c>
      <c r="H102" s="53" t="inlineStr">
        <is>
          <t>USADO</t>
        </is>
      </c>
      <c r="I102" s="95" t="inlineStr">
        <is>
          <t>★★☆☆☆</t>
        </is>
      </c>
      <c r="J102" s="141" t="n">
        <v>799</v>
      </c>
      <c r="K102" s="143" t="n">
        <v>844.7</v>
      </c>
      <c r="L102" s="101">
        <f>IF(J102&gt;0,(J102-K102)/J102,"")</f>
        <v/>
      </c>
      <c r="M102" s="102" t="inlineStr"/>
    </row>
    <row r="103" ht="22" customHeight="1">
      <c r="A103" s="94" t="inlineStr">
        <is>
          <t>MMD-ILU-0193</t>
        </is>
      </c>
      <c r="B103" s="75" t="inlineStr">
        <is>
          <t>LED SPOT RGBW 54X3W</t>
        </is>
      </c>
      <c r="C103" s="58" t="inlineStr">
        <is>
          <t>Star Light Division</t>
        </is>
      </c>
      <c r="D103" s="58" t="inlineStr">
        <is>
          <t>INDOOR</t>
        </is>
      </c>
      <c r="E103" s="58" t="inlineStr">
        <is>
          <t>991114813</t>
        </is>
      </c>
      <c r="F103" s="58" t="inlineStr"/>
      <c r="G103" s="58" t="inlineStr">
        <is>
          <t>DISPONIVEL</t>
        </is>
      </c>
      <c r="H103" s="58" t="inlineStr">
        <is>
          <t>USADO</t>
        </is>
      </c>
      <c r="I103" s="95" t="inlineStr">
        <is>
          <t>★★☆☆☆</t>
        </is>
      </c>
      <c r="J103" s="142" t="n">
        <v>799</v>
      </c>
      <c r="K103" s="143" t="n">
        <v>844.7</v>
      </c>
      <c r="L103" s="98">
        <f>IF(J103&gt;0,(J103-K103)/J103,"")</f>
        <v/>
      </c>
      <c r="M103" s="99" t="inlineStr"/>
    </row>
    <row r="104" ht="22" customHeight="1">
      <c r="A104" s="54" t="inlineStr">
        <is>
          <t>MMD-ILU-0194</t>
        </is>
      </c>
      <c r="B104" s="79" t="inlineStr">
        <is>
          <t>STAR LIGHTING DIVISION LINE LED SPOT RGBW 54X3W</t>
        </is>
      </c>
      <c r="C104" s="53" t="inlineStr">
        <is>
          <t>Star Light Division</t>
        </is>
      </c>
      <c r="D104" s="53" t="inlineStr">
        <is>
          <t>INDOOR</t>
        </is>
      </c>
      <c r="E104" s="53" t="inlineStr">
        <is>
          <t>991114821</t>
        </is>
      </c>
      <c r="F104" s="53" t="inlineStr"/>
      <c r="G104" s="53" t="inlineStr">
        <is>
          <t>DISPONIVEL</t>
        </is>
      </c>
      <c r="H104" s="53" t="inlineStr">
        <is>
          <t>USADO</t>
        </is>
      </c>
      <c r="I104" s="95" t="inlineStr">
        <is>
          <t>★★☆☆☆</t>
        </is>
      </c>
      <c r="J104" s="141" t="n">
        <v>799</v>
      </c>
      <c r="K104" s="143" t="n">
        <v>844.7</v>
      </c>
      <c r="L104" s="101">
        <f>IF(J104&gt;0,(J104-K104)/J104,"")</f>
        <v/>
      </c>
      <c r="M104" s="102" t="inlineStr"/>
    </row>
    <row r="105" ht="22" customHeight="1">
      <c r="A105" s="94" t="inlineStr">
        <is>
          <t>MMD-ILU-0195</t>
        </is>
      </c>
      <c r="B105" s="75" t="inlineStr">
        <is>
          <t>STAR LIGHTING DIVISION RGBW 54X3W</t>
        </is>
      </c>
      <c r="C105" s="58" t="inlineStr">
        <is>
          <t>Star Light Division</t>
        </is>
      </c>
      <c r="D105" s="58" t="inlineStr">
        <is>
          <t>INDOOR</t>
        </is>
      </c>
      <c r="E105" s="58" t="inlineStr">
        <is>
          <t>991114814</t>
        </is>
      </c>
      <c r="F105" s="58" t="inlineStr"/>
      <c r="G105" s="58" t="inlineStr">
        <is>
          <t>DISPONIVEL</t>
        </is>
      </c>
      <c r="H105" s="58" t="inlineStr">
        <is>
          <t>USADO</t>
        </is>
      </c>
      <c r="I105" s="95" t="inlineStr">
        <is>
          <t>★★☆☆☆</t>
        </is>
      </c>
      <c r="J105" s="142" t="n">
        <v>799</v>
      </c>
      <c r="K105" s="143" t="n">
        <v>844.7</v>
      </c>
      <c r="L105" s="98">
        <f>IF(J105&gt;0,(J105-K105)/J105,"")</f>
        <v/>
      </c>
      <c r="M105" s="99" t="inlineStr"/>
    </row>
    <row r="106" ht="22" customHeight="1">
      <c r="A106" s="54" t="inlineStr">
        <is>
          <t>MMD-ILU-0196</t>
        </is>
      </c>
      <c r="B106" s="79" t="inlineStr">
        <is>
          <t>STAR LIGHTING DIVISION RGBW 54X3W</t>
        </is>
      </c>
      <c r="C106" s="53" t="inlineStr">
        <is>
          <t>Star Light Division</t>
        </is>
      </c>
      <c r="D106" s="53" t="inlineStr">
        <is>
          <t>INDOOR</t>
        </is>
      </c>
      <c r="E106" s="53" t="inlineStr">
        <is>
          <t>991114816</t>
        </is>
      </c>
      <c r="F106" s="53" t="inlineStr"/>
      <c r="G106" s="53" t="inlineStr">
        <is>
          <t>DISPONIVEL</t>
        </is>
      </c>
      <c r="H106" s="53" t="inlineStr">
        <is>
          <t>USADO</t>
        </is>
      </c>
      <c r="I106" s="95" t="inlineStr">
        <is>
          <t>★★☆☆☆</t>
        </is>
      </c>
      <c r="J106" s="141" t="n">
        <v>799</v>
      </c>
      <c r="K106" s="143" t="n">
        <v>844.7</v>
      </c>
      <c r="L106" s="101">
        <f>IF(J106&gt;0,(J106-K106)/J106,"")</f>
        <v/>
      </c>
      <c r="M106" s="102" t="inlineStr"/>
    </row>
    <row r="107" ht="22" customHeight="1">
      <c r="A107" s="94" t="inlineStr">
        <is>
          <t>MMD-ILU-0197</t>
        </is>
      </c>
      <c r="B107" s="75" t="inlineStr">
        <is>
          <t>STAR LIGHTING DIVISION RGBW 54X3W</t>
        </is>
      </c>
      <c r="C107" s="58" t="inlineStr">
        <is>
          <t>Star Light Division</t>
        </is>
      </c>
      <c r="D107" s="58" t="inlineStr">
        <is>
          <t>INDOOR</t>
        </is>
      </c>
      <c r="E107" s="58" t="inlineStr">
        <is>
          <t>991114817</t>
        </is>
      </c>
      <c r="F107" s="58" t="inlineStr"/>
      <c r="G107" s="58" t="inlineStr">
        <is>
          <t>DISPONIVEL</t>
        </is>
      </c>
      <c r="H107" s="58" t="inlineStr">
        <is>
          <t>USADO</t>
        </is>
      </c>
      <c r="I107" s="95" t="inlineStr">
        <is>
          <t>★★☆☆☆</t>
        </is>
      </c>
      <c r="J107" s="142" t="n">
        <v>799</v>
      </c>
      <c r="K107" s="143" t="n">
        <v>844.7</v>
      </c>
      <c r="L107" s="98">
        <f>IF(J107&gt;0,(J107-K107)/J107,"")</f>
        <v/>
      </c>
      <c r="M107" s="99" t="inlineStr"/>
    </row>
    <row r="108" ht="22" customHeight="1">
      <c r="A108" s="54" t="inlineStr">
        <is>
          <t>MMD-ILU-0198</t>
        </is>
      </c>
      <c r="B108" s="79" t="inlineStr">
        <is>
          <t>STAR LIGHTING DIVISION RGBW 54X3W</t>
        </is>
      </c>
      <c r="C108" s="53" t="inlineStr">
        <is>
          <t>Star Light Division</t>
        </is>
      </c>
      <c r="D108" s="53" t="inlineStr">
        <is>
          <t>INDOOR</t>
        </is>
      </c>
      <c r="E108" s="53" t="inlineStr">
        <is>
          <t>991114819</t>
        </is>
      </c>
      <c r="F108" s="53" t="inlineStr"/>
      <c r="G108" s="53" t="inlineStr">
        <is>
          <t>DISPONIVEL</t>
        </is>
      </c>
      <c r="H108" s="53" t="inlineStr">
        <is>
          <t>USADO</t>
        </is>
      </c>
      <c r="I108" s="95" t="inlineStr">
        <is>
          <t>★★☆☆☆</t>
        </is>
      </c>
      <c r="J108" s="141" t="n">
        <v>799</v>
      </c>
      <c r="K108" s="143" t="n">
        <v>844.7</v>
      </c>
      <c r="L108" s="101">
        <f>IF(J108&gt;0,(J108-K108)/J108,"")</f>
        <v/>
      </c>
      <c r="M108" s="102" t="inlineStr"/>
    </row>
    <row r="109" ht="22" customHeight="1">
      <c r="A109" s="94" t="inlineStr">
        <is>
          <t>MMD-ILU-0199</t>
        </is>
      </c>
      <c r="B109" s="75" t="inlineStr">
        <is>
          <t>(REDONDO GRANDE)</t>
        </is>
      </c>
      <c r="C109" s="58" t="inlineStr">
        <is>
          <t>NEC</t>
        </is>
      </c>
      <c r="D109" s="58" t="inlineStr">
        <is>
          <t>INDOOR</t>
        </is>
      </c>
      <c r="E109" s="58" t="inlineStr"/>
      <c r="F109" s="58" t="inlineStr"/>
      <c r="G109" s="58" t="inlineStr">
        <is>
          <t>DISPONIVEL</t>
        </is>
      </c>
      <c r="H109" s="58" t="inlineStr">
        <is>
          <t>USADO</t>
        </is>
      </c>
      <c r="I109" s="95" t="inlineStr">
        <is>
          <t>★★☆☆☆</t>
        </is>
      </c>
      <c r="J109" s="142" t="n">
        <v>450</v>
      </c>
      <c r="K109" s="143" t="n">
        <v>450</v>
      </c>
      <c r="L109" s="98">
        <f>IF(J109&gt;0,(J109-K109)/J109,"")</f>
        <v/>
      </c>
      <c r="M109" s="99" t="inlineStr"/>
    </row>
    <row r="110" ht="22" customHeight="1">
      <c r="A110" s="54" t="inlineStr">
        <is>
          <t>MMD-ILU-0200</t>
        </is>
      </c>
      <c r="B110" s="79" t="inlineStr">
        <is>
          <t>(REDONDO GRANDE)</t>
        </is>
      </c>
      <c r="C110" s="53" t="inlineStr">
        <is>
          <t>NEC</t>
        </is>
      </c>
      <c r="D110" s="53" t="inlineStr">
        <is>
          <t>INDOOR</t>
        </is>
      </c>
      <c r="E110" s="53" t="inlineStr"/>
      <c r="F110" s="53" t="inlineStr"/>
      <c r="G110" s="53" t="inlineStr">
        <is>
          <t>DISPONIVEL</t>
        </is>
      </c>
      <c r="H110" s="53" t="inlineStr">
        <is>
          <t>USADO</t>
        </is>
      </c>
      <c r="I110" s="95" t="inlineStr">
        <is>
          <t>★★☆☆☆</t>
        </is>
      </c>
      <c r="J110" s="141" t="n">
        <v>450</v>
      </c>
      <c r="K110" s="143" t="n">
        <v>450</v>
      </c>
      <c r="L110" s="101">
        <f>IF(J110&gt;0,(J110-K110)/J110,"")</f>
        <v/>
      </c>
      <c r="M110" s="102" t="inlineStr"/>
    </row>
    <row r="111" ht="22" customHeight="1">
      <c r="A111" s="94" t="inlineStr">
        <is>
          <t>MMD-ILU-0201</t>
        </is>
      </c>
      <c r="B111" s="75" t="inlineStr">
        <is>
          <t>BRY-1903</t>
        </is>
      </c>
      <c r="C111" s="58" t="inlineStr">
        <is>
          <t>Briwax</t>
        </is>
      </c>
      <c r="D111" s="58" t="inlineStr">
        <is>
          <t>INDOOR</t>
        </is>
      </c>
      <c r="E111" s="58" t="inlineStr"/>
      <c r="F111" s="58" t="inlineStr"/>
      <c r="G111" s="58" t="inlineStr">
        <is>
          <t>DISPONIVEL</t>
        </is>
      </c>
      <c r="H111" s="58" t="inlineStr">
        <is>
          <t>USADO</t>
        </is>
      </c>
      <c r="I111" s="95" t="inlineStr">
        <is>
          <t>★★☆☆☆</t>
        </is>
      </c>
      <c r="J111" s="142" t="n">
        <v>450</v>
      </c>
      <c r="K111" s="143" t="n">
        <v>450</v>
      </c>
      <c r="L111" s="98">
        <f>IF(J111&gt;0,(J111-K111)/J111,"")</f>
        <v/>
      </c>
      <c r="M111" s="99" t="inlineStr"/>
    </row>
    <row r="112" ht="22" customHeight="1">
      <c r="A112" s="54" t="inlineStr">
        <is>
          <t>MMD-ILU-0202</t>
        </is>
      </c>
      <c r="B112" s="79" t="inlineStr">
        <is>
          <t>BWX BX-316 1707</t>
        </is>
      </c>
      <c r="C112" s="53" t="inlineStr">
        <is>
          <t>Briwax</t>
        </is>
      </c>
      <c r="D112" s="53" t="inlineStr">
        <is>
          <t>INDOOR</t>
        </is>
      </c>
      <c r="E112" s="53" t="inlineStr"/>
      <c r="F112" s="53" t="inlineStr"/>
      <c r="G112" s="53" t="inlineStr">
        <is>
          <t>DISPONIVEL</t>
        </is>
      </c>
      <c r="H112" s="53" t="inlineStr">
        <is>
          <t>USADO</t>
        </is>
      </c>
      <c r="I112" s="95" t="inlineStr">
        <is>
          <t>★★☆☆☆</t>
        </is>
      </c>
      <c r="J112" s="141" t="n">
        <v>450</v>
      </c>
      <c r="K112" s="143" t="n">
        <v>320</v>
      </c>
      <c r="L112" s="101">
        <f>IF(J112&gt;0,(J112-K112)/J112,"")</f>
        <v/>
      </c>
      <c r="M112" s="102" t="inlineStr"/>
    </row>
    <row r="113" ht="22" customHeight="1">
      <c r="A113" s="94" t="inlineStr">
        <is>
          <t>MMD-ILU-0203</t>
        </is>
      </c>
      <c r="B113" s="75" t="inlineStr">
        <is>
          <t>BX-316 1804</t>
        </is>
      </c>
      <c r="C113" s="58" t="inlineStr">
        <is>
          <t>Briwax</t>
        </is>
      </c>
      <c r="D113" s="58" t="inlineStr">
        <is>
          <t>INDOOR</t>
        </is>
      </c>
      <c r="E113" s="58" t="inlineStr"/>
      <c r="F113" s="58" t="inlineStr"/>
      <c r="G113" s="58" t="inlineStr">
        <is>
          <t>DISPONIVEL</t>
        </is>
      </c>
      <c r="H113" s="58" t="inlineStr">
        <is>
          <t>USADO</t>
        </is>
      </c>
      <c r="I113" s="95" t="inlineStr">
        <is>
          <t>★★☆☆☆</t>
        </is>
      </c>
      <c r="J113" s="142" t="n">
        <v>450</v>
      </c>
      <c r="K113" s="143" t="n">
        <v>320</v>
      </c>
      <c r="L113" s="98">
        <f>IF(J113&gt;0,(J113-K113)/J113,"")</f>
        <v/>
      </c>
      <c r="M113" s="99" t="inlineStr"/>
    </row>
    <row r="114" ht="22" customHeight="1">
      <c r="A114" s="54" t="inlineStr">
        <is>
          <t>MMD-ILU-0204</t>
        </is>
      </c>
      <c r="B114" s="79" t="inlineStr">
        <is>
          <t>BX-383 1912</t>
        </is>
      </c>
      <c r="C114" s="53" t="inlineStr">
        <is>
          <t>Briwax</t>
        </is>
      </c>
      <c r="D114" s="53" t="inlineStr">
        <is>
          <t>INDOOR</t>
        </is>
      </c>
      <c r="E114" s="53" t="inlineStr"/>
      <c r="F114" s="53" t="inlineStr"/>
      <c r="G114" s="53" t="inlineStr">
        <is>
          <t>DISPONIVEL</t>
        </is>
      </c>
      <c r="H114" s="53" t="inlineStr">
        <is>
          <t>USADO</t>
        </is>
      </c>
      <c r="I114" s="95" t="inlineStr">
        <is>
          <t>★★☆☆☆</t>
        </is>
      </c>
      <c r="J114" s="141" t="n">
        <v>450</v>
      </c>
      <c r="K114" s="143" t="n">
        <v>320</v>
      </c>
      <c r="L114" s="101">
        <f>IF(J114&gt;0,(J114-K114)/J114,"")</f>
        <v/>
      </c>
      <c r="M114" s="102" t="inlineStr"/>
    </row>
    <row r="115" ht="22" customHeight="1">
      <c r="A115" s="94" t="inlineStr">
        <is>
          <t>MMD-ILU-0205</t>
        </is>
      </c>
      <c r="B115" s="75" t="inlineStr">
        <is>
          <t>HW-LED010F</t>
        </is>
      </c>
      <c r="C115" s="58" t="inlineStr">
        <is>
          <t>NEC</t>
        </is>
      </c>
      <c r="D115" s="58" t="inlineStr">
        <is>
          <t>INDOOR</t>
        </is>
      </c>
      <c r="E115" s="58" t="inlineStr"/>
      <c r="F115" s="58" t="inlineStr"/>
      <c r="G115" s="58" t="inlineStr">
        <is>
          <t>DISPONIVEL</t>
        </is>
      </c>
      <c r="H115" s="58" t="inlineStr">
        <is>
          <t>USADO</t>
        </is>
      </c>
      <c r="I115" s="95" t="inlineStr">
        <is>
          <t>★★☆☆☆</t>
        </is>
      </c>
      <c r="J115" s="142" t="n">
        <v>450</v>
      </c>
      <c r="K115" s="143" t="n">
        <v>450</v>
      </c>
      <c r="L115" s="98">
        <f>IF(J115&gt;0,(J115-K115)/J115,"")</f>
        <v/>
      </c>
      <c r="M115" s="99" t="inlineStr"/>
    </row>
    <row r="116" ht="22" customHeight="1">
      <c r="A116" s="54" t="inlineStr">
        <is>
          <t>MMD-ILU-0206</t>
        </is>
      </c>
      <c r="B116" s="79" t="inlineStr">
        <is>
          <t>MAGIC CAZ. LE-64543-1 MODELL EVENTOS 0403</t>
        </is>
      </c>
      <c r="C116" s="53" t="inlineStr"/>
      <c r="D116" s="53" t="inlineStr">
        <is>
          <t>INDOOR</t>
        </is>
      </c>
      <c r="E116" s="53" t="inlineStr"/>
      <c r="F116" s="53" t="inlineStr"/>
      <c r="G116" s="53" t="inlineStr">
        <is>
          <t>DISPONIVEL</t>
        </is>
      </c>
      <c r="H116" s="53" t="inlineStr">
        <is>
          <t>USADO</t>
        </is>
      </c>
      <c r="I116" s="95" t="inlineStr">
        <is>
          <t>★★☆☆☆</t>
        </is>
      </c>
      <c r="J116" s="141" t="n">
        <v>171</v>
      </c>
      <c r="K116" s="143" t="n">
        <v>171</v>
      </c>
      <c r="L116" s="101">
        <f>IF(J116&gt;0,(J116-K116)/J116,"")</f>
        <v/>
      </c>
      <c r="M116" s="102" t="inlineStr"/>
    </row>
    <row r="117" ht="22" customHeight="1">
      <c r="A117" s="94" t="inlineStr">
        <is>
          <t>MMD-ILU-0207</t>
        </is>
      </c>
      <c r="B117" s="75" t="inlineStr">
        <is>
          <t>NE-117C</t>
        </is>
      </c>
      <c r="C117" s="58" t="inlineStr"/>
      <c r="D117" s="58" t="inlineStr">
        <is>
          <t>INDOOR</t>
        </is>
      </c>
      <c r="E117" s="58" t="inlineStr"/>
      <c r="F117" s="58" t="inlineStr"/>
      <c r="G117" s="58" t="inlineStr">
        <is>
          <t>DISPONIVEL</t>
        </is>
      </c>
      <c r="H117" s="58" t="inlineStr">
        <is>
          <t>USADO</t>
        </is>
      </c>
      <c r="I117" s="95" t="inlineStr">
        <is>
          <t>★★☆☆☆</t>
        </is>
      </c>
      <c r="J117" s="142" t="n">
        <v>171</v>
      </c>
      <c r="K117" s="143" t="n">
        <v>171</v>
      </c>
      <c r="L117" s="98">
        <f>IF(J117&gt;0,(J117-K117)/J117,"")</f>
        <v/>
      </c>
      <c r="M117" s="99" t="inlineStr"/>
    </row>
    <row r="118" ht="22" customHeight="1">
      <c r="A118" s="54" t="inlineStr">
        <is>
          <t>MMD-ILU-0208</t>
        </is>
      </c>
      <c r="B118" s="79" t="inlineStr">
        <is>
          <t>NE-117G</t>
        </is>
      </c>
      <c r="C118" s="53" t="inlineStr">
        <is>
          <t>BDL</t>
        </is>
      </c>
      <c r="D118" s="53" t="inlineStr">
        <is>
          <t>INDOOR</t>
        </is>
      </c>
      <c r="E118" s="53" t="inlineStr"/>
      <c r="F118" s="53" t="inlineStr"/>
      <c r="G118" s="53" t="inlineStr">
        <is>
          <t>DISPONIVEL</t>
        </is>
      </c>
      <c r="H118" s="53" t="inlineStr">
        <is>
          <t>USADO</t>
        </is>
      </c>
      <c r="I118" s="95" t="inlineStr">
        <is>
          <t>★★☆☆☆</t>
        </is>
      </c>
      <c r="J118" s="141" t="n">
        <v>171</v>
      </c>
      <c r="K118" s="143" t="n">
        <v>171</v>
      </c>
      <c r="L118" s="101">
        <f>IF(J118&gt;0,(J118-K118)/J118,"")</f>
        <v/>
      </c>
      <c r="M118" s="102" t="inlineStr"/>
    </row>
    <row r="119" ht="22" customHeight="1">
      <c r="A119" s="94" t="inlineStr">
        <is>
          <t>MMD-ILU-0209</t>
        </is>
      </c>
      <c r="B119" s="75" t="inlineStr">
        <is>
          <t>NE-117G-I</t>
        </is>
      </c>
      <c r="C119" s="58" t="inlineStr">
        <is>
          <t>BDL</t>
        </is>
      </c>
      <c r="D119" s="58" t="inlineStr">
        <is>
          <t>INDOOR</t>
        </is>
      </c>
      <c r="E119" s="58" t="inlineStr"/>
      <c r="F119" s="58" t="inlineStr"/>
      <c r="G119" s="58" t="inlineStr">
        <is>
          <t>DISPONIVEL</t>
        </is>
      </c>
      <c r="H119" s="58" t="inlineStr">
        <is>
          <t>USADO</t>
        </is>
      </c>
      <c r="I119" s="95" t="inlineStr">
        <is>
          <t>★★☆☆☆</t>
        </is>
      </c>
      <c r="J119" s="142" t="n">
        <v>171</v>
      </c>
      <c r="K119" s="143" t="n">
        <v>171</v>
      </c>
      <c r="L119" s="98">
        <f>IF(J119&gt;0,(J119-K119)/J119,"")</f>
        <v/>
      </c>
      <c r="M119" s="99" t="inlineStr"/>
    </row>
    <row r="120" ht="22" customHeight="1">
      <c r="A120" s="54" t="inlineStr">
        <is>
          <t>MMD-ILU-0210</t>
        </is>
      </c>
      <c r="B120" s="79" t="inlineStr">
        <is>
          <t>NE-117G-I</t>
        </is>
      </c>
      <c r="C120" s="53" t="inlineStr">
        <is>
          <t>BDL</t>
        </is>
      </c>
      <c r="D120" s="53" t="inlineStr">
        <is>
          <t>INDOOR</t>
        </is>
      </c>
      <c r="E120" s="53" t="inlineStr"/>
      <c r="F120" s="53" t="inlineStr"/>
      <c r="G120" s="53" t="inlineStr">
        <is>
          <t>DISPONIVEL</t>
        </is>
      </c>
      <c r="H120" s="53" t="inlineStr">
        <is>
          <t>USADO</t>
        </is>
      </c>
      <c r="I120" s="95" t="inlineStr">
        <is>
          <t>★★☆☆☆</t>
        </is>
      </c>
      <c r="J120" s="141" t="n">
        <v>171</v>
      </c>
      <c r="K120" s="143" t="n">
        <v>171</v>
      </c>
      <c r="L120" s="101">
        <f>IF(J120&gt;0,(J120-K120)/J120,"")</f>
        <v/>
      </c>
      <c r="M120" s="102" t="inlineStr"/>
    </row>
    <row r="121" ht="22" customHeight="1">
      <c r="A121" s="94" t="inlineStr">
        <is>
          <t>MMD-ILU-0211</t>
        </is>
      </c>
      <c r="B121" s="75" t="inlineStr">
        <is>
          <t>NE-117G-I</t>
        </is>
      </c>
      <c r="C121" s="58" t="inlineStr">
        <is>
          <t>BDL</t>
        </is>
      </c>
      <c r="D121" s="58" t="inlineStr">
        <is>
          <t>INDOOR</t>
        </is>
      </c>
      <c r="E121" s="58" t="inlineStr"/>
      <c r="F121" s="58" t="inlineStr"/>
      <c r="G121" s="58" t="inlineStr">
        <is>
          <t>DISPONIVEL</t>
        </is>
      </c>
      <c r="H121" s="58" t="inlineStr">
        <is>
          <t>USADO</t>
        </is>
      </c>
      <c r="I121" s="95" t="inlineStr">
        <is>
          <t>★★☆☆☆</t>
        </is>
      </c>
      <c r="J121" s="142" t="n">
        <v>171</v>
      </c>
      <c r="K121" s="143" t="n">
        <v>171</v>
      </c>
      <c r="L121" s="98">
        <f>IF(J121&gt;0,(J121-K121)/J121,"")</f>
        <v/>
      </c>
      <c r="M121" s="99" t="inlineStr"/>
    </row>
    <row r="122" ht="22" customHeight="1">
      <c r="A122" s="54" t="inlineStr">
        <is>
          <t>MMD-ILU-0212</t>
        </is>
      </c>
      <c r="B122" s="79" t="inlineStr">
        <is>
          <t>NE-117G-I</t>
        </is>
      </c>
      <c r="C122" s="53" t="inlineStr">
        <is>
          <t>BDL</t>
        </is>
      </c>
      <c r="D122" s="53" t="inlineStr">
        <is>
          <t>INDOOR</t>
        </is>
      </c>
      <c r="E122" s="53" t="inlineStr"/>
      <c r="F122" s="53" t="inlineStr"/>
      <c r="G122" s="53" t="inlineStr">
        <is>
          <t>DISPONIVEL</t>
        </is>
      </c>
      <c r="H122" s="53" t="inlineStr">
        <is>
          <t>USADO</t>
        </is>
      </c>
      <c r="I122" s="95" t="inlineStr">
        <is>
          <t>★★☆☆☆</t>
        </is>
      </c>
      <c r="J122" s="141" t="n">
        <v>171</v>
      </c>
      <c r="K122" s="143" t="n">
        <v>171</v>
      </c>
      <c r="L122" s="101">
        <f>IF(J122&gt;0,(J122-K122)/J122,"")</f>
        <v/>
      </c>
      <c r="M122" s="102" t="inlineStr"/>
    </row>
    <row r="123" ht="22" customHeight="1">
      <c r="A123" s="94" t="inlineStr">
        <is>
          <t>MMD-ILU-0213</t>
        </is>
      </c>
      <c r="B123" s="75" t="inlineStr">
        <is>
          <t>NE-117G-I</t>
        </is>
      </c>
      <c r="C123" s="58" t="inlineStr">
        <is>
          <t>BDL</t>
        </is>
      </c>
      <c r="D123" s="58" t="inlineStr">
        <is>
          <t>INDOOR</t>
        </is>
      </c>
      <c r="E123" s="58" t="inlineStr"/>
      <c r="F123" s="58" t="inlineStr"/>
      <c r="G123" s="58" t="inlineStr">
        <is>
          <t>DISPONIVEL</t>
        </is>
      </c>
      <c r="H123" s="58" t="inlineStr">
        <is>
          <t>USADO</t>
        </is>
      </c>
      <c r="I123" s="95" t="inlineStr">
        <is>
          <t>★★☆☆☆</t>
        </is>
      </c>
      <c r="J123" s="142" t="n">
        <v>171</v>
      </c>
      <c r="K123" s="143" t="n">
        <v>171</v>
      </c>
      <c r="L123" s="98">
        <f>IF(J123&gt;0,(J123-K123)/J123,"")</f>
        <v/>
      </c>
      <c r="M123" s="99" t="inlineStr"/>
    </row>
    <row r="124" ht="22" customHeight="1">
      <c r="A124" s="54" t="inlineStr">
        <is>
          <t>MMD-ILU-0214</t>
        </is>
      </c>
      <c r="B124" s="79" t="inlineStr">
        <is>
          <t>NE-117G-I</t>
        </is>
      </c>
      <c r="C124" s="53" t="inlineStr">
        <is>
          <t>BDL</t>
        </is>
      </c>
      <c r="D124" s="53" t="inlineStr">
        <is>
          <t>INDOOR</t>
        </is>
      </c>
      <c r="E124" s="53" t="inlineStr"/>
      <c r="F124" s="53" t="inlineStr"/>
      <c r="G124" s="53" t="inlineStr">
        <is>
          <t>DISPONIVEL</t>
        </is>
      </c>
      <c r="H124" s="53" t="inlineStr">
        <is>
          <t>USADO</t>
        </is>
      </c>
      <c r="I124" s="95" t="inlineStr">
        <is>
          <t>★★☆☆☆</t>
        </is>
      </c>
      <c r="J124" s="141" t="n">
        <v>171</v>
      </c>
      <c r="K124" s="143" t="n">
        <v>171</v>
      </c>
      <c r="L124" s="101">
        <f>IF(J124&gt;0,(J124-K124)/J124,"")</f>
        <v/>
      </c>
      <c r="M124" s="102" t="inlineStr"/>
    </row>
    <row r="125" ht="22" customHeight="1">
      <c r="A125" s="94" t="inlineStr">
        <is>
          <t>MMD-ILU-0215</t>
        </is>
      </c>
      <c r="B125" s="75" t="inlineStr">
        <is>
          <t>NE-117G-I</t>
        </is>
      </c>
      <c r="C125" s="58" t="inlineStr">
        <is>
          <t>BDL</t>
        </is>
      </c>
      <c r="D125" s="58" t="inlineStr">
        <is>
          <t>INDOOR</t>
        </is>
      </c>
      <c r="E125" s="58" t="inlineStr"/>
      <c r="F125" s="58" t="inlineStr"/>
      <c r="G125" s="58" t="inlineStr">
        <is>
          <t>DISPONIVEL</t>
        </is>
      </c>
      <c r="H125" s="58" t="inlineStr">
        <is>
          <t>USADO</t>
        </is>
      </c>
      <c r="I125" s="95" t="inlineStr">
        <is>
          <t>★★☆☆☆</t>
        </is>
      </c>
      <c r="J125" s="142" t="n">
        <v>171</v>
      </c>
      <c r="K125" s="143" t="n">
        <v>171</v>
      </c>
      <c r="L125" s="98">
        <f>IF(J125&gt;0,(J125-K125)/J125,"")</f>
        <v/>
      </c>
      <c r="M125" s="99" t="inlineStr"/>
    </row>
    <row r="126" ht="22" customHeight="1">
      <c r="A126" s="54" t="inlineStr">
        <is>
          <t>MMD-ILU-0216</t>
        </is>
      </c>
      <c r="B126" s="79" t="inlineStr">
        <is>
          <t>NEO NE-117C</t>
        </is>
      </c>
      <c r="C126" s="53" t="inlineStr"/>
      <c r="D126" s="53" t="inlineStr">
        <is>
          <t>INDOOR</t>
        </is>
      </c>
      <c r="E126" s="53" t="inlineStr"/>
      <c r="F126" s="53" t="inlineStr"/>
      <c r="G126" s="53" t="inlineStr">
        <is>
          <t>DISPONIVEL</t>
        </is>
      </c>
      <c r="H126" s="53" t="inlineStr">
        <is>
          <t>USADO</t>
        </is>
      </c>
      <c r="I126" s="95" t="inlineStr">
        <is>
          <t>★★☆☆☆</t>
        </is>
      </c>
      <c r="J126" s="141" t="n">
        <v>171</v>
      </c>
      <c r="K126" s="143" t="n">
        <v>171</v>
      </c>
      <c r="L126" s="101">
        <f>IF(J126&gt;0,(J126-K126)/J126,"")</f>
        <v/>
      </c>
      <c r="M126" s="102" t="inlineStr"/>
    </row>
    <row r="127" ht="22" customHeight="1">
      <c r="A127" s="94" t="inlineStr">
        <is>
          <t>MMD-ILU-0217</t>
        </is>
      </c>
      <c r="B127" s="75" t="inlineStr">
        <is>
          <t>P354</t>
        </is>
      </c>
      <c r="C127" s="58" t="inlineStr"/>
      <c r="D127" s="58" t="inlineStr">
        <is>
          <t>INDOOR</t>
        </is>
      </c>
      <c r="E127" s="58" t="inlineStr"/>
      <c r="F127" s="58" t="inlineStr"/>
      <c r="G127" s="58" t="inlineStr">
        <is>
          <t>DISPONIVEL</t>
        </is>
      </c>
      <c r="H127" s="58" t="inlineStr">
        <is>
          <t>USADO</t>
        </is>
      </c>
      <c r="I127" s="95" t="inlineStr">
        <is>
          <t>★★☆☆☆</t>
        </is>
      </c>
      <c r="J127" s="142" t="n">
        <v>171</v>
      </c>
      <c r="K127" s="143" t="n">
        <v>171</v>
      </c>
      <c r="L127" s="98">
        <f>IF(J127&gt;0,(J127-K127)/J127,"")</f>
        <v/>
      </c>
      <c r="M127" s="99" t="inlineStr"/>
    </row>
    <row r="128" ht="22" customHeight="1">
      <c r="A128" s="54" t="inlineStr">
        <is>
          <t>MMD-ILU-0218</t>
        </is>
      </c>
      <c r="B128" s="79" t="inlineStr">
        <is>
          <t>P360 PHATON</t>
        </is>
      </c>
      <c r="C128" s="53" t="inlineStr"/>
      <c r="D128" s="53" t="inlineStr">
        <is>
          <t>INDOOR</t>
        </is>
      </c>
      <c r="E128" s="53" t="inlineStr"/>
      <c r="F128" s="53" t="inlineStr"/>
      <c r="G128" s="53" t="inlineStr">
        <is>
          <t>DISPONIVEL</t>
        </is>
      </c>
      <c r="H128" s="53" t="inlineStr">
        <is>
          <t>USADO</t>
        </is>
      </c>
      <c r="I128" s="95" t="inlineStr">
        <is>
          <t>★★☆☆☆</t>
        </is>
      </c>
      <c r="J128" s="141" t="n">
        <v>171</v>
      </c>
      <c r="K128" s="143" t="n">
        <v>171</v>
      </c>
      <c r="L128" s="101">
        <f>IF(J128&gt;0,(J128-K128)/J128,"")</f>
        <v/>
      </c>
      <c r="M128" s="102" t="inlineStr"/>
    </row>
    <row r="129" ht="22" customHeight="1">
      <c r="A129" s="94" t="inlineStr">
        <is>
          <t>MMD-ILU-0219</t>
        </is>
      </c>
      <c r="B129" s="75" t="inlineStr">
        <is>
          <t>SEM ID (CANHÃO)</t>
        </is>
      </c>
      <c r="C129" s="58" t="inlineStr"/>
      <c r="D129" s="58" t="inlineStr">
        <is>
          <t>INDOOR</t>
        </is>
      </c>
      <c r="E129" s="58" t="inlineStr">
        <is>
          <t>MODELL EVENTOS ...</t>
        </is>
      </c>
      <c r="F129" s="58" t="inlineStr"/>
      <c r="G129" s="58" t="inlineStr">
        <is>
          <t>DISPONIVEL</t>
        </is>
      </c>
      <c r="H129" s="58" t="inlineStr">
        <is>
          <t>USADO</t>
        </is>
      </c>
      <c r="I129" s="95" t="inlineStr">
        <is>
          <t>★★☆☆☆</t>
        </is>
      </c>
      <c r="J129" s="142" t="n">
        <v>171</v>
      </c>
      <c r="K129" s="143" t="n">
        <v>171</v>
      </c>
      <c r="L129" s="98">
        <f>IF(J129&gt;0,(J129-K129)/J129,"")</f>
        <v/>
      </c>
      <c r="M129" s="99" t="inlineStr"/>
    </row>
    <row r="130" ht="22" customHeight="1">
      <c r="A130" s="54" t="inlineStr">
        <is>
          <t>MMD-ILU-0220</t>
        </is>
      </c>
      <c r="B130" s="79" t="inlineStr">
        <is>
          <t>SEM ID (CANHÃO)</t>
        </is>
      </c>
      <c r="C130" s="53" t="inlineStr"/>
      <c r="D130" s="53" t="inlineStr">
        <is>
          <t>INDOOR</t>
        </is>
      </c>
      <c r="E130" s="53" t="inlineStr"/>
      <c r="F130" s="53" t="inlineStr"/>
      <c r="G130" s="53" t="inlineStr">
        <is>
          <t>DISPONIVEL</t>
        </is>
      </c>
      <c r="H130" s="53" t="inlineStr">
        <is>
          <t>USADO</t>
        </is>
      </c>
      <c r="I130" s="95" t="inlineStr">
        <is>
          <t>★★☆☆☆</t>
        </is>
      </c>
      <c r="J130" s="141" t="n">
        <v>171</v>
      </c>
      <c r="K130" s="143" t="n">
        <v>171</v>
      </c>
      <c r="L130" s="101">
        <f>IF(J130&gt;0,(J130-K130)/J130,"")</f>
        <v/>
      </c>
      <c r="M130" s="102" t="inlineStr"/>
    </row>
    <row r="131" ht="22" customHeight="1">
      <c r="A131" s="94" t="inlineStr">
        <is>
          <t>MMD-ILU-0221</t>
        </is>
      </c>
      <c r="B131" s="75" t="inlineStr">
        <is>
          <t>SEM ID (CANHÃO)</t>
        </is>
      </c>
      <c r="C131" s="58" t="inlineStr"/>
      <c r="D131" s="58" t="inlineStr">
        <is>
          <t>INDOOR</t>
        </is>
      </c>
      <c r="E131" s="58" t="inlineStr"/>
      <c r="F131" s="58" t="inlineStr"/>
      <c r="G131" s="58" t="inlineStr">
        <is>
          <t>DISPONIVEL</t>
        </is>
      </c>
      <c r="H131" s="58" t="inlineStr">
        <is>
          <t>USADO</t>
        </is>
      </c>
      <c r="I131" s="95" t="inlineStr">
        <is>
          <t>★★☆☆☆</t>
        </is>
      </c>
      <c r="J131" s="142" t="n">
        <v>171</v>
      </c>
      <c r="K131" s="143" t="n">
        <v>171</v>
      </c>
      <c r="L131" s="98">
        <f>IF(J131&gt;0,(J131-K131)/J131,"")</f>
        <v/>
      </c>
      <c r="M131" s="99" t="inlineStr"/>
    </row>
    <row r="132" ht="22" customHeight="1">
      <c r="A132" s="54" t="inlineStr">
        <is>
          <t>MMD-ILU-0222</t>
        </is>
      </c>
      <c r="B132" s="79" t="inlineStr">
        <is>
          <t>SEM IDENTIFICACAO</t>
        </is>
      </c>
      <c r="C132" s="53" t="inlineStr"/>
      <c r="D132" s="53" t="inlineStr">
        <is>
          <t>INDOOR</t>
        </is>
      </c>
      <c r="E132" s="53" t="inlineStr"/>
      <c r="F132" s="53" t="inlineStr"/>
      <c r="G132" s="53" t="inlineStr">
        <is>
          <t>DISPONIVEL</t>
        </is>
      </c>
      <c r="H132" s="53" t="inlineStr">
        <is>
          <t>USADO</t>
        </is>
      </c>
      <c r="I132" s="95" t="inlineStr">
        <is>
          <t>★★☆☆☆</t>
        </is>
      </c>
      <c r="J132" s="141" t="n">
        <v>171</v>
      </c>
      <c r="K132" s="143" t="n">
        <v>171</v>
      </c>
      <c r="L132" s="101">
        <f>IF(J132&gt;0,(J132-K132)/J132,"")</f>
        <v/>
      </c>
      <c r="M132" s="102" t="inlineStr"/>
    </row>
    <row r="133" ht="22" customHeight="1">
      <c r="A133" s="94" t="inlineStr">
        <is>
          <t>MMD-ILU-0223</t>
        </is>
      </c>
      <c r="B133" s="75" t="inlineStr">
        <is>
          <t>SEM IDENTIFICACAO</t>
        </is>
      </c>
      <c r="C133" s="58" t="inlineStr"/>
      <c r="D133" s="58" t="inlineStr">
        <is>
          <t>INDOOR</t>
        </is>
      </c>
      <c r="E133" s="58" t="inlineStr"/>
      <c r="F133" s="58" t="inlineStr"/>
      <c r="G133" s="58" t="inlineStr">
        <is>
          <t>DISPONIVEL</t>
        </is>
      </c>
      <c r="H133" s="58" t="inlineStr">
        <is>
          <t>USADO</t>
        </is>
      </c>
      <c r="I133" s="95" t="inlineStr">
        <is>
          <t>★★☆☆☆</t>
        </is>
      </c>
      <c r="J133" s="142" t="n">
        <v>171</v>
      </c>
      <c r="K133" s="143" t="n">
        <v>171</v>
      </c>
      <c r="L133" s="98">
        <f>IF(J133&gt;0,(J133-K133)/J133,"")</f>
        <v/>
      </c>
      <c r="M133" s="99" t="inlineStr"/>
    </row>
    <row r="134" ht="22" customHeight="1">
      <c r="A134" s="54" t="inlineStr">
        <is>
          <t>MMD-ILU-0224</t>
        </is>
      </c>
      <c r="B134" s="79" t="inlineStr">
        <is>
          <t>SEM IDENTIFICACAO (MAS PARECE NE-117G-I)</t>
        </is>
      </c>
      <c r="C134" s="53" t="inlineStr"/>
      <c r="D134" s="53" t="inlineStr">
        <is>
          <t>INDOOR</t>
        </is>
      </c>
      <c r="E134" s="53" t="inlineStr"/>
      <c r="F134" s="53" t="inlineStr"/>
      <c r="G134" s="53" t="inlineStr">
        <is>
          <t>DISPONIVEL</t>
        </is>
      </c>
      <c r="H134" s="53" t="inlineStr">
        <is>
          <t>USADO</t>
        </is>
      </c>
      <c r="I134" s="95" t="inlineStr">
        <is>
          <t>★★☆☆☆</t>
        </is>
      </c>
      <c r="J134" s="141" t="n">
        <v>171</v>
      </c>
      <c r="K134" s="143" t="n">
        <v>171</v>
      </c>
      <c r="L134" s="101">
        <f>IF(J134&gt;0,(J134-K134)/J134,"")</f>
        <v/>
      </c>
      <c r="M134" s="102" t="inlineStr"/>
    </row>
    <row r="135" ht="22" customHeight="1">
      <c r="A135" s="94" t="inlineStr">
        <is>
          <t>MMD-ILU-0225</t>
        </is>
      </c>
      <c r="B135" s="75" t="inlineStr">
        <is>
          <t>ST-184N1</t>
        </is>
      </c>
      <c r="C135" s="58" t="inlineStr">
        <is>
          <t>Showtech</t>
        </is>
      </c>
      <c r="D135" s="58" t="inlineStr">
        <is>
          <t>INDOOR</t>
        </is>
      </c>
      <c r="E135" s="58" t="inlineStr"/>
      <c r="F135" s="58" t="inlineStr"/>
      <c r="G135" s="58" t="inlineStr">
        <is>
          <t>DISPONIVEL</t>
        </is>
      </c>
      <c r="H135" s="58" t="inlineStr">
        <is>
          <t>USADO</t>
        </is>
      </c>
      <c r="I135" s="95" t="inlineStr">
        <is>
          <t>★★☆☆☆</t>
        </is>
      </c>
      <c r="J135" s="142" t="n">
        <v>289</v>
      </c>
      <c r="K135" s="143" t="n">
        <v>289</v>
      </c>
      <c r="L135" s="98">
        <f>IF(J135&gt;0,(J135-K135)/J135,"")</f>
        <v/>
      </c>
      <c r="M135" s="99" t="inlineStr"/>
    </row>
    <row r="136" ht="22" customHeight="1">
      <c r="A136" s="54" t="inlineStr">
        <is>
          <t>MMD-ILU-0226</t>
        </is>
      </c>
      <c r="B136" s="79" t="inlineStr">
        <is>
          <t>ST-184N1</t>
        </is>
      </c>
      <c r="C136" s="53" t="inlineStr">
        <is>
          <t>Showtech</t>
        </is>
      </c>
      <c r="D136" s="53" t="inlineStr">
        <is>
          <t>INDOOR</t>
        </is>
      </c>
      <c r="E136" s="53" t="inlineStr"/>
      <c r="F136" s="53" t="inlineStr"/>
      <c r="G136" s="53" t="inlineStr">
        <is>
          <t>DISPONIVEL</t>
        </is>
      </c>
      <c r="H136" s="53" t="inlineStr">
        <is>
          <t>USADO</t>
        </is>
      </c>
      <c r="I136" s="95" t="inlineStr">
        <is>
          <t>★★☆☆☆</t>
        </is>
      </c>
      <c r="J136" s="141" t="n">
        <v>289</v>
      </c>
      <c r="K136" s="143" t="n">
        <v>289</v>
      </c>
      <c r="L136" s="101">
        <f>IF(J136&gt;0,(J136-K136)/J136,"")</f>
        <v/>
      </c>
      <c r="M136" s="102" t="inlineStr"/>
    </row>
    <row r="137" ht="22" customHeight="1">
      <c r="A137" s="94" t="inlineStr">
        <is>
          <t>MMD-ILU-0227</t>
        </is>
      </c>
      <c r="B137" s="75" t="inlineStr">
        <is>
          <t>ST-184N1</t>
        </is>
      </c>
      <c r="C137" s="58" t="inlineStr">
        <is>
          <t>Showtech</t>
        </is>
      </c>
      <c r="D137" s="58" t="inlineStr">
        <is>
          <t>INDOOR</t>
        </is>
      </c>
      <c r="E137" s="58" t="inlineStr"/>
      <c r="F137" s="58" t="inlineStr"/>
      <c r="G137" s="58" t="inlineStr">
        <is>
          <t>DISPONIVEL</t>
        </is>
      </c>
      <c r="H137" s="58" t="inlineStr">
        <is>
          <t>USADO</t>
        </is>
      </c>
      <c r="I137" s="95" t="inlineStr">
        <is>
          <t>★★☆☆☆</t>
        </is>
      </c>
      <c r="J137" s="142" t="n">
        <v>289</v>
      </c>
      <c r="K137" s="143" t="n">
        <v>289</v>
      </c>
      <c r="L137" s="98">
        <f>IF(J137&gt;0,(J137-K137)/J137,"")</f>
        <v/>
      </c>
      <c r="M137" s="99" t="inlineStr"/>
    </row>
    <row r="138" ht="22" customHeight="1">
      <c r="A138" s="54" t="inlineStr">
        <is>
          <t>MMD-ILU-0228</t>
        </is>
      </c>
      <c r="B138" s="79" t="inlineStr">
        <is>
          <t>ST-184N1</t>
        </is>
      </c>
      <c r="C138" s="53" t="inlineStr">
        <is>
          <t>Showtech</t>
        </is>
      </c>
      <c r="D138" s="53" t="inlineStr">
        <is>
          <t>INDOOR</t>
        </is>
      </c>
      <c r="E138" s="53" t="inlineStr"/>
      <c r="F138" s="53" t="inlineStr"/>
      <c r="G138" s="53" t="inlineStr">
        <is>
          <t>DISPONIVEL</t>
        </is>
      </c>
      <c r="H138" s="53" t="inlineStr">
        <is>
          <t>USADO</t>
        </is>
      </c>
      <c r="I138" s="95" t="inlineStr">
        <is>
          <t>★★☆☆☆</t>
        </is>
      </c>
      <c r="J138" s="141" t="n">
        <v>289</v>
      </c>
      <c r="K138" s="143" t="n">
        <v>289</v>
      </c>
      <c r="L138" s="101">
        <f>IF(J138&gt;0,(J138-K138)/J138,"")</f>
        <v/>
      </c>
      <c r="M138" s="102" t="inlineStr"/>
    </row>
    <row r="139" ht="22" customHeight="1">
      <c r="A139" s="94" t="inlineStr">
        <is>
          <t>MMD-ILU-0229</t>
        </is>
      </c>
      <c r="B139" s="75" t="inlineStr">
        <is>
          <t>ST-184N1</t>
        </is>
      </c>
      <c r="C139" s="58" t="inlineStr">
        <is>
          <t>Showtech</t>
        </is>
      </c>
      <c r="D139" s="58" t="inlineStr">
        <is>
          <t>INDOOR</t>
        </is>
      </c>
      <c r="E139" s="58" t="inlineStr"/>
      <c r="F139" s="58" t="inlineStr"/>
      <c r="G139" s="58" t="inlineStr">
        <is>
          <t>DISPONIVEL</t>
        </is>
      </c>
      <c r="H139" s="58" t="inlineStr">
        <is>
          <t>USADO</t>
        </is>
      </c>
      <c r="I139" s="95" t="inlineStr">
        <is>
          <t>★★☆☆☆</t>
        </is>
      </c>
      <c r="J139" s="142" t="n">
        <v>289</v>
      </c>
      <c r="K139" s="143" t="n">
        <v>289</v>
      </c>
      <c r="L139" s="98">
        <f>IF(J139&gt;0,(J139-K139)/J139,"")</f>
        <v/>
      </c>
      <c r="M139" s="99" t="inlineStr"/>
    </row>
    <row r="140" ht="22" customHeight="1">
      <c r="A140" s="54" t="inlineStr">
        <is>
          <t>MMD-ILU-0230</t>
        </is>
      </c>
      <c r="B140" s="79" t="inlineStr">
        <is>
          <t>ST-184N1</t>
        </is>
      </c>
      <c r="C140" s="53" t="inlineStr">
        <is>
          <t>Showtech</t>
        </is>
      </c>
      <c r="D140" s="53" t="inlineStr">
        <is>
          <t>INDOOR</t>
        </is>
      </c>
      <c r="E140" s="53" t="inlineStr"/>
      <c r="F140" s="53" t="inlineStr"/>
      <c r="G140" s="53" t="inlineStr">
        <is>
          <t>DISPONIVEL</t>
        </is>
      </c>
      <c r="H140" s="53" t="inlineStr">
        <is>
          <t>USADO</t>
        </is>
      </c>
      <c r="I140" s="95" t="inlineStr">
        <is>
          <t>★★☆☆☆</t>
        </is>
      </c>
      <c r="J140" s="141" t="n">
        <v>289</v>
      </c>
      <c r="K140" s="143" t="n">
        <v>289</v>
      </c>
      <c r="L140" s="101">
        <f>IF(J140&gt;0,(J140-K140)/J140,"")</f>
        <v/>
      </c>
      <c r="M140" s="102" t="inlineStr"/>
    </row>
    <row r="141" ht="22" customHeight="1">
      <c r="A141" s="94" t="inlineStr">
        <is>
          <t>MMD-ILU-0231</t>
        </is>
      </c>
      <c r="B141" s="75" t="inlineStr">
        <is>
          <t>ST-184N1</t>
        </is>
      </c>
      <c r="C141" s="58" t="inlineStr">
        <is>
          <t>Showtech</t>
        </is>
      </c>
      <c r="D141" s="58" t="inlineStr">
        <is>
          <t>INDOOR</t>
        </is>
      </c>
      <c r="E141" s="58" t="inlineStr"/>
      <c r="F141" s="58" t="inlineStr"/>
      <c r="G141" s="58" t="inlineStr">
        <is>
          <t>DISPONIVEL</t>
        </is>
      </c>
      <c r="H141" s="58" t="inlineStr">
        <is>
          <t>USADO</t>
        </is>
      </c>
      <c r="I141" s="95" t="inlineStr">
        <is>
          <t>★★☆☆☆</t>
        </is>
      </c>
      <c r="J141" s="142" t="n">
        <v>289</v>
      </c>
      <c r="K141" s="143" t="n">
        <v>289</v>
      </c>
      <c r="L141" s="98">
        <f>IF(J141&gt;0,(J141-K141)/J141,"")</f>
        <v/>
      </c>
      <c r="M141" s="99" t="inlineStr"/>
    </row>
    <row r="142" ht="22" customHeight="1">
      <c r="A142" s="54" t="inlineStr">
        <is>
          <t>MMD-ILU-0232</t>
        </is>
      </c>
      <c r="B142" s="79" t="inlineStr">
        <is>
          <t>ST-184N1</t>
        </is>
      </c>
      <c r="C142" s="53" t="inlineStr">
        <is>
          <t>Showtech</t>
        </is>
      </c>
      <c r="D142" s="53" t="inlineStr">
        <is>
          <t>INDOOR</t>
        </is>
      </c>
      <c r="E142" s="53" t="inlineStr"/>
      <c r="F142" s="53" t="inlineStr"/>
      <c r="G142" s="53" t="inlineStr">
        <is>
          <t>DISPONIVEL</t>
        </is>
      </c>
      <c r="H142" s="53" t="inlineStr">
        <is>
          <t>USADO</t>
        </is>
      </c>
      <c r="I142" s="95" t="inlineStr">
        <is>
          <t>★★☆☆☆</t>
        </is>
      </c>
      <c r="J142" s="141" t="n">
        <v>289</v>
      </c>
      <c r="K142" s="143" t="n">
        <v>289</v>
      </c>
      <c r="L142" s="101">
        <f>IF(J142&gt;0,(J142-K142)/J142,"")</f>
        <v/>
      </c>
      <c r="M142" s="102" t="inlineStr"/>
    </row>
    <row r="143" ht="22" customHeight="1">
      <c r="A143" s="94" t="inlineStr">
        <is>
          <t>MMD-ILU-0233</t>
        </is>
      </c>
      <c r="B143" s="75" t="inlineStr">
        <is>
          <t>ST-184N1</t>
        </is>
      </c>
      <c r="C143" s="58" t="inlineStr">
        <is>
          <t>Showtech</t>
        </is>
      </c>
      <c r="D143" s="58" t="inlineStr">
        <is>
          <t>INDOOR</t>
        </is>
      </c>
      <c r="E143" s="58" t="inlineStr"/>
      <c r="F143" s="58" t="inlineStr"/>
      <c r="G143" s="58" t="inlineStr">
        <is>
          <t>DISPONIVEL</t>
        </is>
      </c>
      <c r="H143" s="58" t="inlineStr">
        <is>
          <t>USADO</t>
        </is>
      </c>
      <c r="I143" s="95" t="inlineStr">
        <is>
          <t>★★☆☆☆</t>
        </is>
      </c>
      <c r="J143" s="142" t="n">
        <v>289</v>
      </c>
      <c r="K143" s="143" t="n">
        <v>289</v>
      </c>
      <c r="L143" s="98">
        <f>IF(J143&gt;0,(J143-K143)/J143,"")</f>
        <v/>
      </c>
      <c r="M143" s="99" t="inlineStr"/>
    </row>
    <row r="144" ht="22" customHeight="1">
      <c r="A144" s="54" t="inlineStr">
        <is>
          <t>MMD-ILU-0234</t>
        </is>
      </c>
      <c r="B144" s="79" t="inlineStr">
        <is>
          <t>LED SPOT RGBW 54X3W</t>
        </is>
      </c>
      <c r="C144" s="53" t="inlineStr">
        <is>
          <t>Star Light Division</t>
        </is>
      </c>
      <c r="D144" s="53" t="inlineStr">
        <is>
          <t>INDOOR</t>
        </is>
      </c>
      <c r="E144" s="53" t="inlineStr">
        <is>
          <t>991114818</t>
        </is>
      </c>
      <c r="F144" s="53" t="inlineStr"/>
      <c r="G144" s="53" t="inlineStr">
        <is>
          <t>DISPONIVEL</t>
        </is>
      </c>
      <c r="H144" s="53" t="inlineStr">
        <is>
          <t>USADO</t>
        </is>
      </c>
      <c r="I144" s="95" t="inlineStr">
        <is>
          <t>★★☆☆☆</t>
        </is>
      </c>
      <c r="J144" s="141" t="n">
        <v>799</v>
      </c>
      <c r="K144" s="143" t="n">
        <v>844.7</v>
      </c>
      <c r="L144" s="101">
        <f>IF(J144&gt;0,(J144-K144)/J144,"")</f>
        <v/>
      </c>
      <c r="M144" s="102" t="inlineStr"/>
    </row>
    <row r="145" ht="22" customHeight="1">
      <c r="A145" s="94" t="inlineStr">
        <is>
          <t>MMD-ILU-0235</t>
        </is>
      </c>
      <c r="B145" s="75" t="inlineStr">
        <is>
          <t>Mega Light</t>
        </is>
      </c>
      <c r="C145" s="58" t="inlineStr">
        <is>
          <t>Mega Light</t>
        </is>
      </c>
      <c r="D145" s="58" t="inlineStr">
        <is>
          <t>INDOOR</t>
        </is>
      </c>
      <c r="E145" s="58" t="inlineStr"/>
      <c r="F145" s="58" t="inlineStr"/>
      <c r="G145" s="58" t="inlineStr">
        <is>
          <t>DISPONIVEL</t>
        </is>
      </c>
      <c r="H145" s="58" t="inlineStr">
        <is>
          <t>USADO</t>
        </is>
      </c>
      <c r="I145" s="95" t="inlineStr">
        <is>
          <t>★★☆☆☆</t>
        </is>
      </c>
      <c r="J145" s="142" t="n">
        <v>450</v>
      </c>
      <c r="K145" s="143" t="n">
        <v>450</v>
      </c>
      <c r="L145" s="98">
        <f>IF(J145&gt;0,(J145-K145)/J145,"")</f>
        <v/>
      </c>
      <c r="M145" s="99" t="inlineStr"/>
    </row>
    <row r="146" ht="24" customHeight="1">
      <c r="A146" s="92" t="inlineStr">
        <is>
          <t xml:space="preserve">  LASER  (9)</t>
        </is>
      </c>
    </row>
    <row r="147" ht="22" customHeight="1">
      <c r="A147" s="54" t="inlineStr">
        <is>
          <t>MMD-ILU-0050</t>
        </is>
      </c>
      <c r="B147" s="79" t="inlineStr">
        <is>
          <t>RIBALTA LASER 6 CABECAS RGB</t>
        </is>
      </c>
      <c r="C147" s="53" t="inlineStr"/>
      <c r="D147" s="53" t="inlineStr">
        <is>
          <t>LASER</t>
        </is>
      </c>
      <c r="E147" s="53" t="inlineStr"/>
      <c r="F147" s="53" t="inlineStr"/>
      <c r="G147" s="53" t="inlineStr">
        <is>
          <t>DISPONIVEL</t>
        </is>
      </c>
      <c r="H147" s="53" t="inlineStr">
        <is>
          <t>USADO</t>
        </is>
      </c>
      <c r="I147" s="95" t="inlineStr">
        <is>
          <t>★★☆☆☆</t>
        </is>
      </c>
      <c r="J147" s="141" t="n">
        <v>3011</v>
      </c>
      <c r="K147" s="143" t="n">
        <v>3011</v>
      </c>
      <c r="L147" s="101">
        <f>IF(J147&gt;0,(J147-K147)/J147,"")</f>
        <v/>
      </c>
      <c r="M147" s="102" t="inlineStr"/>
    </row>
    <row r="148" ht="22" customHeight="1">
      <c r="A148" s="94" t="inlineStr">
        <is>
          <t>MMD-ILU-0057</t>
        </is>
      </c>
      <c r="B148" s="75" t="inlineStr">
        <is>
          <t>ST-LS6</t>
        </is>
      </c>
      <c r="C148" s="58" t="inlineStr">
        <is>
          <t>Showtech</t>
        </is>
      </c>
      <c r="D148" s="58" t="inlineStr">
        <is>
          <t>LASER</t>
        </is>
      </c>
      <c r="E148" s="58" t="inlineStr"/>
      <c r="F148" s="58" t="inlineStr"/>
      <c r="G148" s="58" t="inlineStr">
        <is>
          <t>DISPONIVEL</t>
        </is>
      </c>
      <c r="H148" s="58" t="inlineStr">
        <is>
          <t>USADO</t>
        </is>
      </c>
      <c r="I148" s="95" t="inlineStr">
        <is>
          <t>★★☆☆☆</t>
        </is>
      </c>
      <c r="J148" s="142" t="n">
        <v>2700</v>
      </c>
      <c r="K148" s="143" t="n">
        <v>2700</v>
      </c>
      <c r="L148" s="98">
        <f>IF(J148&gt;0,(J148-K148)/J148,"")</f>
        <v/>
      </c>
      <c r="M148" s="99" t="inlineStr"/>
    </row>
    <row r="149" ht="22" customHeight="1">
      <c r="A149" s="54" t="inlineStr">
        <is>
          <t>MMD-ILU-0058</t>
        </is>
      </c>
      <c r="B149" s="79" t="inlineStr">
        <is>
          <t>ST-LS6</t>
        </is>
      </c>
      <c r="C149" s="53" t="inlineStr">
        <is>
          <t>Showtech</t>
        </is>
      </c>
      <c r="D149" s="53" t="inlineStr">
        <is>
          <t>LASER</t>
        </is>
      </c>
      <c r="E149" s="53" t="inlineStr"/>
      <c r="F149" s="53" t="inlineStr"/>
      <c r="G149" s="53" t="inlineStr">
        <is>
          <t>DISPONIVEL</t>
        </is>
      </c>
      <c r="H149" s="53" t="inlineStr">
        <is>
          <t>USADO</t>
        </is>
      </c>
      <c r="I149" s="95" t="inlineStr">
        <is>
          <t>★★☆☆☆</t>
        </is>
      </c>
      <c r="J149" s="141" t="n">
        <v>2700</v>
      </c>
      <c r="K149" s="143" t="n">
        <v>2700</v>
      </c>
      <c r="L149" s="101">
        <f>IF(J149&gt;0,(J149-K149)/J149,"")</f>
        <v/>
      </c>
      <c r="M149" s="102" t="inlineStr"/>
    </row>
    <row r="150" ht="22" customHeight="1">
      <c r="A150" s="94" t="inlineStr">
        <is>
          <t>MMD-ILU-0059</t>
        </is>
      </c>
      <c r="B150" s="75" t="inlineStr">
        <is>
          <t>ST-LS6</t>
        </is>
      </c>
      <c r="C150" s="58" t="inlineStr">
        <is>
          <t>Showtech</t>
        </is>
      </c>
      <c r="D150" s="58" t="inlineStr">
        <is>
          <t>LASER</t>
        </is>
      </c>
      <c r="E150" s="58" t="inlineStr"/>
      <c r="F150" s="58" t="inlineStr"/>
      <c r="G150" s="58" t="inlineStr">
        <is>
          <t>DISPONIVEL</t>
        </is>
      </c>
      <c r="H150" s="58" t="inlineStr">
        <is>
          <t>USADO</t>
        </is>
      </c>
      <c r="I150" s="95" t="inlineStr">
        <is>
          <t>★★☆☆☆</t>
        </is>
      </c>
      <c r="J150" s="142" t="n">
        <v>2700</v>
      </c>
      <c r="K150" s="143" t="n">
        <v>2700</v>
      </c>
      <c r="L150" s="98">
        <f>IF(J150&gt;0,(J150-K150)/J150,"")</f>
        <v/>
      </c>
      <c r="M150" s="99" t="inlineStr"/>
    </row>
    <row r="151" ht="22" customHeight="1">
      <c r="A151" s="54" t="inlineStr">
        <is>
          <t>MMD-ILU-0077</t>
        </is>
      </c>
      <c r="B151" s="79" t="inlineStr">
        <is>
          <t>ST-LS6</t>
        </is>
      </c>
      <c r="C151" s="53" t="inlineStr">
        <is>
          <t>Showtech</t>
        </is>
      </c>
      <c r="D151" s="53" t="inlineStr">
        <is>
          <t>LASER</t>
        </is>
      </c>
      <c r="E151" s="53" t="inlineStr"/>
      <c r="F151" s="53" t="inlineStr"/>
      <c r="G151" s="53" t="inlineStr">
        <is>
          <t>DISPONIVEL</t>
        </is>
      </c>
      <c r="H151" s="53" t="inlineStr">
        <is>
          <t>USADO</t>
        </is>
      </c>
      <c r="I151" s="95" t="inlineStr">
        <is>
          <t>★★☆☆☆</t>
        </is>
      </c>
      <c r="J151" s="141" t="n">
        <v>2700</v>
      </c>
      <c r="K151" s="143" t="n">
        <v>2700</v>
      </c>
      <c r="L151" s="101">
        <f>IF(J151&gt;0,(J151-K151)/J151,"")</f>
        <v/>
      </c>
      <c r="M151" s="102" t="inlineStr"/>
    </row>
    <row r="152" ht="22" customHeight="1">
      <c r="A152" s="94" t="inlineStr">
        <is>
          <t>MMD-ILU-0078</t>
        </is>
      </c>
      <c r="B152" s="75" t="inlineStr">
        <is>
          <t>ST-LS6</t>
        </is>
      </c>
      <c r="C152" s="58" t="inlineStr">
        <is>
          <t>Showtech</t>
        </is>
      </c>
      <c r="D152" s="58" t="inlineStr">
        <is>
          <t>LASER</t>
        </is>
      </c>
      <c r="E152" s="58" t="inlineStr"/>
      <c r="F152" s="58" t="inlineStr"/>
      <c r="G152" s="58" t="inlineStr">
        <is>
          <t>DISPONIVEL</t>
        </is>
      </c>
      <c r="H152" s="58" t="inlineStr">
        <is>
          <t>USADO</t>
        </is>
      </c>
      <c r="I152" s="95" t="inlineStr">
        <is>
          <t>★★☆☆☆</t>
        </is>
      </c>
      <c r="J152" s="142" t="n">
        <v>2700</v>
      </c>
      <c r="K152" s="143" t="n">
        <v>2700</v>
      </c>
      <c r="L152" s="98">
        <f>IF(J152&gt;0,(J152-K152)/J152,"")</f>
        <v/>
      </c>
      <c r="M152" s="99" t="inlineStr"/>
    </row>
    <row r="153" ht="22" customHeight="1">
      <c r="A153" s="54" t="inlineStr">
        <is>
          <t>MMD-ILU-0079</t>
        </is>
      </c>
      <c r="B153" s="79" t="inlineStr">
        <is>
          <t>ST-LS6</t>
        </is>
      </c>
      <c r="C153" s="53" t="inlineStr">
        <is>
          <t>Showtech</t>
        </is>
      </c>
      <c r="D153" s="53" t="inlineStr">
        <is>
          <t>LASER</t>
        </is>
      </c>
      <c r="E153" s="53" t="inlineStr"/>
      <c r="F153" s="53" t="inlineStr"/>
      <c r="G153" s="53" t="inlineStr">
        <is>
          <t>DISPONIVEL</t>
        </is>
      </c>
      <c r="H153" s="53" t="inlineStr">
        <is>
          <t>USADO</t>
        </is>
      </c>
      <c r="I153" s="95" t="inlineStr">
        <is>
          <t>★★☆☆☆</t>
        </is>
      </c>
      <c r="J153" s="141" t="n">
        <v>2700</v>
      </c>
      <c r="K153" s="143" t="n">
        <v>2700</v>
      </c>
      <c r="L153" s="101">
        <f>IF(J153&gt;0,(J153-K153)/J153,"")</f>
        <v/>
      </c>
      <c r="M153" s="102" t="inlineStr"/>
    </row>
    <row r="154" ht="22" customHeight="1">
      <c r="A154" s="94" t="inlineStr">
        <is>
          <t>MMD-ILU-0116</t>
        </is>
      </c>
      <c r="B154" s="75" t="inlineStr">
        <is>
          <t>RIBALTA LASER 6 CABECAS RGB</t>
        </is>
      </c>
      <c r="C154" s="58" t="inlineStr"/>
      <c r="D154" s="58" t="inlineStr">
        <is>
          <t>LASER</t>
        </is>
      </c>
      <c r="E154" s="58" t="inlineStr"/>
      <c r="F154" s="58" t="inlineStr"/>
      <c r="G154" s="58" t="inlineStr">
        <is>
          <t>DISPONIVEL</t>
        </is>
      </c>
      <c r="H154" s="58" t="inlineStr">
        <is>
          <t>USADO</t>
        </is>
      </c>
      <c r="I154" s="95" t="inlineStr">
        <is>
          <t>★★☆☆☆</t>
        </is>
      </c>
      <c r="J154" s="142" t="n">
        <v>3011</v>
      </c>
      <c r="K154" s="143" t="n">
        <v>3011</v>
      </c>
      <c r="L154" s="98">
        <f>IF(J154&gt;0,(J154-K154)/J154,"")</f>
        <v/>
      </c>
      <c r="M154" s="99" t="inlineStr"/>
    </row>
    <row r="155" ht="22" customHeight="1">
      <c r="A155" s="54" t="inlineStr">
        <is>
          <t>MMD-ILU-0117</t>
        </is>
      </c>
      <c r="B155" s="79" t="inlineStr">
        <is>
          <t>RIBALTA LASER 6 CABECAS RGB</t>
        </is>
      </c>
      <c r="C155" s="53" t="inlineStr"/>
      <c r="D155" s="53" t="inlineStr">
        <is>
          <t>LASER</t>
        </is>
      </c>
      <c r="E155" s="53" t="inlineStr"/>
      <c r="F155" s="53" t="inlineStr"/>
      <c r="G155" s="53" t="inlineStr">
        <is>
          <t>DISPONIVEL</t>
        </is>
      </c>
      <c r="H155" s="53" t="inlineStr">
        <is>
          <t>USADO</t>
        </is>
      </c>
      <c r="I155" s="95" t="inlineStr">
        <is>
          <t>★★☆☆☆</t>
        </is>
      </c>
      <c r="J155" s="141" t="n">
        <v>3011</v>
      </c>
      <c r="K155" s="143" t="n">
        <v>3011</v>
      </c>
      <c r="L155" s="101">
        <f>IF(J155&gt;0,(J155-K155)/J155,"")</f>
        <v/>
      </c>
      <c r="M155" s="102" t="inlineStr"/>
    </row>
    <row r="156" ht="24" customHeight="1">
      <c r="A156" s="92" t="inlineStr">
        <is>
          <t xml:space="preserve">  LUZ NEGRA  (1)</t>
        </is>
      </c>
    </row>
    <row r="157" ht="22" customHeight="1">
      <c r="A157" s="94" t="inlineStr">
        <is>
          <t>MMD-ILU-0242</t>
        </is>
      </c>
      <c r="B157" s="75" t="inlineStr">
        <is>
          <t>SOG-12Z</t>
        </is>
      </c>
      <c r="C157" s="58" t="inlineStr"/>
      <c r="D157" s="58" t="inlineStr">
        <is>
          <t>LUZ NEGRA</t>
        </is>
      </c>
      <c r="E157" s="58" t="inlineStr"/>
      <c r="F157" s="58" t="inlineStr"/>
      <c r="G157" s="58" t="inlineStr">
        <is>
          <t>DISPONIVEL</t>
        </is>
      </c>
      <c r="H157" s="58" t="inlineStr">
        <is>
          <t>USADO</t>
        </is>
      </c>
      <c r="I157" s="95" t="inlineStr">
        <is>
          <t>★★☆☆☆</t>
        </is>
      </c>
      <c r="J157" s="142" t="n">
        <v>799</v>
      </c>
      <c r="K157" s="143" t="n">
        <v>639</v>
      </c>
      <c r="L157" s="98">
        <f>IF(J157&gt;0,(J157-K157)/J157,"")</f>
        <v/>
      </c>
      <c r="M157" s="99" t="inlineStr"/>
    </row>
    <row r="158" ht="24" customHeight="1">
      <c r="A158" s="92" t="inlineStr">
        <is>
          <t xml:space="preserve">  MESA LUZ  (5)</t>
        </is>
      </c>
    </row>
    <row r="159" ht="22" customHeight="1">
      <c r="A159" s="54" t="inlineStr">
        <is>
          <t>MMD-ILU-0179</t>
        </is>
      </c>
      <c r="B159" s="79" t="inlineStr">
        <is>
          <t>KTY711</t>
        </is>
      </c>
      <c r="C159" s="53" t="inlineStr">
        <is>
          <t>Briwax</t>
        </is>
      </c>
      <c r="D159" s="53" t="inlineStr">
        <is>
          <t>MESA LUZ</t>
        </is>
      </c>
      <c r="E159" s="53" t="inlineStr"/>
      <c r="F159" s="53" t="inlineStr"/>
      <c r="G159" s="53" t="inlineStr">
        <is>
          <t>DISPONIVEL</t>
        </is>
      </c>
      <c r="H159" s="53" t="inlineStr">
        <is>
          <t>USADO</t>
        </is>
      </c>
      <c r="I159" s="95" t="inlineStr">
        <is>
          <t>★★☆☆☆</t>
        </is>
      </c>
      <c r="J159" s="141" t="n">
        <v>1068.47</v>
      </c>
      <c r="K159" s="143" t="n">
        <v>1068.47</v>
      </c>
      <c r="L159" s="101">
        <f>IF(J159&gt;0,(J159-K159)/J159,"")</f>
        <v/>
      </c>
      <c r="M159" s="102" t="inlineStr"/>
    </row>
    <row r="160" ht="22" customHeight="1">
      <c r="A160" s="94" t="inlineStr">
        <is>
          <t>MMD-ILU-0180</t>
        </is>
      </c>
      <c r="B160" s="75" t="inlineStr">
        <is>
          <t>LK192</t>
        </is>
      </c>
      <c r="C160" s="58" t="inlineStr">
        <is>
          <t>Luatek</t>
        </is>
      </c>
      <c r="D160" s="58" t="inlineStr">
        <is>
          <t>MESA LUZ</t>
        </is>
      </c>
      <c r="E160" s="58" t="inlineStr"/>
      <c r="F160" s="58" t="inlineStr"/>
      <c r="G160" s="58" t="inlineStr">
        <is>
          <t>DISPONIVEL</t>
        </is>
      </c>
      <c r="H160" s="58" t="inlineStr">
        <is>
          <t>USADO</t>
        </is>
      </c>
      <c r="I160" s="95" t="inlineStr">
        <is>
          <t>★★☆☆☆</t>
        </is>
      </c>
      <c r="J160" s="142" t="n">
        <v>412.95</v>
      </c>
      <c r="K160" s="143" t="n">
        <v>412.95</v>
      </c>
      <c r="L160" s="98">
        <f>IF(J160&gt;0,(J160-K160)/J160,"")</f>
        <v/>
      </c>
      <c r="M160" s="99" t="inlineStr"/>
    </row>
    <row r="161" ht="22" customHeight="1">
      <c r="A161" s="54" t="inlineStr">
        <is>
          <t>MMD-ILU-0184</t>
        </is>
      </c>
      <c r="B161" s="79" t="inlineStr">
        <is>
          <t>PILOT 2000 COM CASE</t>
        </is>
      </c>
      <c r="C161" s="53" t="inlineStr">
        <is>
          <t>Skypix</t>
        </is>
      </c>
      <c r="D161" s="53" t="inlineStr">
        <is>
          <t>MESA LUZ</t>
        </is>
      </c>
      <c r="E161" s="53" t="inlineStr"/>
      <c r="F161" s="53" t="inlineStr"/>
      <c r="G161" s="53" t="inlineStr">
        <is>
          <t>DISPONIVEL</t>
        </is>
      </c>
      <c r="H161" s="53" t="inlineStr">
        <is>
          <t>USADO</t>
        </is>
      </c>
      <c r="I161" s="103" t="inlineStr">
        <is>
          <t>★★★☆☆</t>
        </is>
      </c>
      <c r="J161" s="141" t="n">
        <v>1724</v>
      </c>
      <c r="K161" s="143" t="n">
        <v>1724</v>
      </c>
      <c r="L161" s="101">
        <f>IF(J161&gt;0,(J161-K161)/J161,"")</f>
        <v/>
      </c>
      <c r="M161" s="102" t="inlineStr"/>
    </row>
    <row r="162" ht="22" customHeight="1">
      <c r="A162" s="94" t="inlineStr">
        <is>
          <t>MMD-ILU-0236</t>
        </is>
      </c>
      <c r="B162" s="75" t="inlineStr">
        <is>
          <t>MESA M.A COMMAND WING COM CASE</t>
        </is>
      </c>
      <c r="C162" s="58" t="inlineStr">
        <is>
          <t>SOG</t>
        </is>
      </c>
      <c r="D162" s="58" t="inlineStr">
        <is>
          <t>MESA LUZ</t>
        </is>
      </c>
      <c r="E162" s="58" t="inlineStr"/>
      <c r="F162" s="58" t="inlineStr"/>
      <c r="G162" s="58" t="inlineStr">
        <is>
          <t>DISPONIVEL</t>
        </is>
      </c>
      <c r="H162" s="58" t="inlineStr">
        <is>
          <t>USADO</t>
        </is>
      </c>
      <c r="I162" s="103" t="inlineStr">
        <is>
          <t>★★★☆☆</t>
        </is>
      </c>
      <c r="J162" s="142" t="n">
        <v>4860</v>
      </c>
      <c r="K162" s="143" t="n">
        <v>4860</v>
      </c>
      <c r="L162" s="98">
        <f>IF(J162&gt;0,(J162-K162)/J162,"")</f>
        <v/>
      </c>
      <c r="M162" s="99" t="inlineStr"/>
    </row>
    <row r="163" ht="22" customHeight="1">
      <c r="A163" s="54" t="inlineStr">
        <is>
          <t>MMD-ILU-0237</t>
        </is>
      </c>
      <c r="B163" s="79" t="inlineStr">
        <is>
          <t>SOG-512 DMX512</t>
        </is>
      </c>
      <c r="C163" s="53" t="inlineStr">
        <is>
          <t>SOG</t>
        </is>
      </c>
      <c r="D163" s="53" t="inlineStr">
        <is>
          <t>MESA LUZ</t>
        </is>
      </c>
      <c r="E163" s="53" t="inlineStr"/>
      <c r="F163" s="53" t="inlineStr"/>
      <c r="G163" s="53" t="inlineStr">
        <is>
          <t>DISPONIVEL</t>
        </is>
      </c>
      <c r="H163" s="53" t="inlineStr">
        <is>
          <t>USADO</t>
        </is>
      </c>
      <c r="I163" s="95" t="inlineStr">
        <is>
          <t>★★☆☆☆</t>
        </is>
      </c>
      <c r="J163" s="141" t="n">
        <v>247.99</v>
      </c>
      <c r="K163" s="143" t="n">
        <v>407</v>
      </c>
      <c r="L163" s="101">
        <f>IF(J163&gt;0,(J163-K163)/J163,"")</f>
        <v/>
      </c>
      <c r="M163" s="102" t="inlineStr"/>
    </row>
    <row r="164" ht="24" customHeight="1">
      <c r="A164" s="92" t="inlineStr">
        <is>
          <t xml:space="preserve">  MINI BRUTE  (6)</t>
        </is>
      </c>
    </row>
    <row r="165" ht="22" customHeight="1">
      <c r="A165" s="94" t="inlineStr">
        <is>
          <t>MMD-ILU-0174</t>
        </is>
      </c>
      <c r="B165" s="75" t="inlineStr">
        <is>
          <t>NEO NE-410</t>
        </is>
      </c>
      <c r="C165" s="58" t="inlineStr"/>
      <c r="D165" s="58" t="inlineStr">
        <is>
          <t>MINI BRUTE</t>
        </is>
      </c>
      <c r="E165" s="58" t="inlineStr"/>
      <c r="F165" s="58" t="inlineStr"/>
      <c r="G165" s="58" t="inlineStr">
        <is>
          <t>DISPONIVEL</t>
        </is>
      </c>
      <c r="H165" s="58" t="inlineStr">
        <is>
          <t>USADO</t>
        </is>
      </c>
      <c r="I165" s="95" t="inlineStr">
        <is>
          <t>★★☆☆☆</t>
        </is>
      </c>
      <c r="J165" s="142" t="n">
        <v>1245</v>
      </c>
      <c r="K165" s="143" t="n">
        <v>995</v>
      </c>
      <c r="L165" s="98">
        <f>IF(J165&gt;0,(J165-K165)/J165,"")</f>
        <v/>
      </c>
      <c r="M165" s="99" t="inlineStr"/>
    </row>
    <row r="166" ht="22" customHeight="1">
      <c r="A166" s="54" t="inlineStr">
        <is>
          <t>MMD-ILU-0175</t>
        </is>
      </c>
      <c r="B166" s="79" t="inlineStr">
        <is>
          <t>BRY-1912</t>
        </is>
      </c>
      <c r="C166" s="53" t="inlineStr"/>
      <c r="D166" s="53" t="inlineStr">
        <is>
          <t>MINI BRUTE</t>
        </is>
      </c>
      <c r="E166" s="53" t="inlineStr"/>
      <c r="F166" s="53" t="inlineStr"/>
      <c r="G166" s="53" t="inlineStr">
        <is>
          <t>DISPONIVEL</t>
        </is>
      </c>
      <c r="H166" s="53" t="inlineStr">
        <is>
          <t>USADO</t>
        </is>
      </c>
      <c r="I166" s="95" t="inlineStr">
        <is>
          <t>★★☆☆☆</t>
        </is>
      </c>
      <c r="J166" s="141" t="n">
        <v>1245</v>
      </c>
      <c r="K166" s="143" t="n">
        <v>995</v>
      </c>
      <c r="L166" s="101">
        <f>IF(J166&gt;0,(J166-K166)/J166,"")</f>
        <v/>
      </c>
      <c r="M166" s="102" t="inlineStr"/>
    </row>
    <row r="167" ht="22" customHeight="1">
      <c r="A167" s="94" t="inlineStr">
        <is>
          <t>MMD-ILU-0176</t>
        </is>
      </c>
      <c r="B167" s="75" t="inlineStr">
        <is>
          <t>BRY-1912</t>
        </is>
      </c>
      <c r="C167" s="58" t="inlineStr"/>
      <c r="D167" s="58" t="inlineStr">
        <is>
          <t>MINI BRUTE</t>
        </is>
      </c>
      <c r="E167" s="58" t="inlineStr"/>
      <c r="F167" s="58" t="inlineStr"/>
      <c r="G167" s="58" t="inlineStr">
        <is>
          <t>DISPONIVEL</t>
        </is>
      </c>
      <c r="H167" s="58" t="inlineStr">
        <is>
          <t>USADO</t>
        </is>
      </c>
      <c r="I167" s="95" t="inlineStr">
        <is>
          <t>★★☆☆☆</t>
        </is>
      </c>
      <c r="J167" s="142" t="n">
        <v>1245</v>
      </c>
      <c r="K167" s="143" t="n">
        <v>995</v>
      </c>
      <c r="L167" s="98">
        <f>IF(J167&gt;0,(J167-K167)/J167,"")</f>
        <v/>
      </c>
      <c r="M167" s="99" t="inlineStr"/>
    </row>
    <row r="168" ht="22" customHeight="1">
      <c r="A168" s="54" t="inlineStr">
        <is>
          <t>MMD-ILU-0177</t>
        </is>
      </c>
      <c r="B168" s="79" t="inlineStr">
        <is>
          <t>BRY-1912</t>
        </is>
      </c>
      <c r="C168" s="53" t="inlineStr"/>
      <c r="D168" s="53" t="inlineStr">
        <is>
          <t>MINI BRUTE</t>
        </is>
      </c>
      <c r="E168" s="53" t="inlineStr"/>
      <c r="F168" s="53" t="inlineStr"/>
      <c r="G168" s="53" t="inlineStr">
        <is>
          <t>DISPONIVEL</t>
        </is>
      </c>
      <c r="H168" s="53" t="inlineStr">
        <is>
          <t>USADO</t>
        </is>
      </c>
      <c r="I168" s="95" t="inlineStr">
        <is>
          <t>★★☆☆☆</t>
        </is>
      </c>
      <c r="J168" s="141" t="n">
        <v>1245</v>
      </c>
      <c r="K168" s="143" t="n">
        <v>995</v>
      </c>
      <c r="L168" s="101">
        <f>IF(J168&gt;0,(J168-K168)/J168,"")</f>
        <v/>
      </c>
      <c r="M168" s="102" t="inlineStr"/>
    </row>
    <row r="169" ht="22" customHeight="1">
      <c r="A169" s="94" t="inlineStr">
        <is>
          <t>MMD-ILU-0178</t>
        </is>
      </c>
      <c r="B169" s="75" t="inlineStr">
        <is>
          <t>BRY-1912</t>
        </is>
      </c>
      <c r="C169" s="58" t="inlineStr"/>
      <c r="D169" s="58" t="inlineStr">
        <is>
          <t>MINI BRUTE</t>
        </is>
      </c>
      <c r="E169" s="58" t="inlineStr"/>
      <c r="F169" s="58" t="inlineStr"/>
      <c r="G169" s="58" t="inlineStr">
        <is>
          <t>DISPONIVEL</t>
        </is>
      </c>
      <c r="H169" s="58" t="inlineStr">
        <is>
          <t>USADO</t>
        </is>
      </c>
      <c r="I169" s="95" t="inlineStr">
        <is>
          <t>★★☆☆☆</t>
        </is>
      </c>
      <c r="J169" s="142" t="n">
        <v>1245</v>
      </c>
      <c r="K169" s="143" t="n">
        <v>995</v>
      </c>
      <c r="L169" s="98">
        <f>IF(J169&gt;0,(J169-K169)/J169,"")</f>
        <v/>
      </c>
      <c r="M169" s="99" t="inlineStr"/>
    </row>
    <row r="170" ht="22" customHeight="1">
      <c r="A170" s="54" t="inlineStr">
        <is>
          <t>MMD-ILU-0243</t>
        </is>
      </c>
      <c r="B170" s="79" t="inlineStr">
        <is>
          <t>NEO NE-410</t>
        </is>
      </c>
      <c r="C170" s="53" t="inlineStr"/>
      <c r="D170" s="53" t="inlineStr">
        <is>
          <t>MINI BRUTE</t>
        </is>
      </c>
      <c r="E170" s="53" t="inlineStr"/>
      <c r="F170" s="53" t="inlineStr"/>
      <c r="G170" s="53" t="inlineStr">
        <is>
          <t>DISPONIVEL</t>
        </is>
      </c>
      <c r="H170" s="53" t="inlineStr">
        <is>
          <t>USADO</t>
        </is>
      </c>
      <c r="I170" s="95" t="inlineStr">
        <is>
          <t>★★☆☆☆</t>
        </is>
      </c>
      <c r="J170" s="141" t="n">
        <v>1245</v>
      </c>
      <c r="K170" s="143" t="n">
        <v>995</v>
      </c>
      <c r="L170" s="101">
        <f>IF(J170&gt;0,(J170-K170)/J170,"")</f>
        <v/>
      </c>
      <c r="M170" s="102" t="inlineStr"/>
    </row>
    <row r="171" ht="24" customHeight="1">
      <c r="A171" s="92" t="inlineStr">
        <is>
          <t xml:space="preserve">  MINI MOVING  (24)</t>
        </is>
      </c>
    </row>
    <row r="172" ht="22" customHeight="1">
      <c r="A172" s="94" t="inlineStr">
        <is>
          <t>MMD-ILU-0244</t>
        </is>
      </c>
      <c r="B172" s="75" t="inlineStr">
        <is>
          <t>LM70</t>
        </is>
      </c>
      <c r="C172" s="58" t="inlineStr"/>
      <c r="D172" s="58" t="inlineStr">
        <is>
          <t>MINI MOVING</t>
        </is>
      </c>
      <c r="E172" s="58" t="inlineStr">
        <is>
          <t>LA688226</t>
        </is>
      </c>
      <c r="F172" s="58" t="inlineStr"/>
      <c r="G172" s="58" t="inlineStr">
        <is>
          <t>DISPONIVEL</t>
        </is>
      </c>
      <c r="H172" s="58" t="inlineStr">
        <is>
          <t>USADO</t>
        </is>
      </c>
      <c r="I172" s="95" t="inlineStr">
        <is>
          <t>★★☆☆☆</t>
        </is>
      </c>
      <c r="J172" s="142" t="n">
        <v>675</v>
      </c>
      <c r="K172" s="143" t="n">
        <v>315</v>
      </c>
      <c r="L172" s="98">
        <f>IF(J172&gt;0,(J172-K172)/J172,"")</f>
        <v/>
      </c>
      <c r="M172" s="99" t="inlineStr"/>
    </row>
    <row r="173" ht="22" customHeight="1">
      <c r="A173" s="54" t="inlineStr">
        <is>
          <t>MMD-ILU-0245</t>
        </is>
      </c>
      <c r="B173" s="79" t="inlineStr">
        <is>
          <t>MINI B-EYE 7X15W HW-A005B</t>
        </is>
      </c>
      <c r="C173" s="53" t="inlineStr"/>
      <c r="D173" s="53" t="inlineStr">
        <is>
          <t>MINI MOVING</t>
        </is>
      </c>
      <c r="E173" s="53" t="inlineStr">
        <is>
          <t>8685</t>
        </is>
      </c>
      <c r="F173" s="53" t="inlineStr"/>
      <c r="G173" s="53" t="inlineStr">
        <is>
          <t>DISPONIVEL</t>
        </is>
      </c>
      <c r="H173" s="53" t="inlineStr">
        <is>
          <t>USADO</t>
        </is>
      </c>
      <c r="I173" s="95" t="inlineStr">
        <is>
          <t>★★☆☆☆</t>
        </is>
      </c>
      <c r="J173" s="141" t="n">
        <v>675</v>
      </c>
      <c r="K173" s="143" t="n">
        <v>315</v>
      </c>
      <c r="L173" s="101">
        <f>IF(J173&gt;0,(J173-K173)/J173,"")</f>
        <v/>
      </c>
      <c r="M173" s="102" t="inlineStr"/>
    </row>
    <row r="174" ht="22" customHeight="1">
      <c r="A174" s="94" t="inlineStr">
        <is>
          <t>MMD-ILU-0246</t>
        </is>
      </c>
      <c r="B174" s="75" t="inlineStr">
        <is>
          <t>SOG-610A BEAM</t>
        </is>
      </c>
      <c r="C174" s="58" t="inlineStr">
        <is>
          <t>SOG</t>
        </is>
      </c>
      <c r="D174" s="58" t="inlineStr">
        <is>
          <t>MINI MOVING</t>
        </is>
      </c>
      <c r="E174" s="58" t="inlineStr"/>
      <c r="F174" s="58" t="inlineStr"/>
      <c r="G174" s="58" t="inlineStr">
        <is>
          <t>DISPONIVEL</t>
        </is>
      </c>
      <c r="H174" s="58" t="inlineStr">
        <is>
          <t>USADO</t>
        </is>
      </c>
      <c r="I174" s="95" t="inlineStr">
        <is>
          <t>★★☆☆☆</t>
        </is>
      </c>
      <c r="J174" s="142" t="n">
        <v>936</v>
      </c>
      <c r="K174" s="143" t="n">
        <v>936</v>
      </c>
      <c r="L174" s="98">
        <f>IF(J174&gt;0,(J174-K174)/J174,"")</f>
        <v/>
      </c>
      <c r="M174" s="99" t="inlineStr"/>
    </row>
    <row r="175" ht="22" customHeight="1">
      <c r="A175" s="54" t="inlineStr">
        <is>
          <t>MMD-ILU-0247</t>
        </is>
      </c>
      <c r="B175" s="79" t="inlineStr">
        <is>
          <t>ST-6EYE</t>
        </is>
      </c>
      <c r="C175" s="53" t="inlineStr">
        <is>
          <t>Showtech</t>
        </is>
      </c>
      <c r="D175" s="53" t="inlineStr">
        <is>
          <t>MINI MOVING</t>
        </is>
      </c>
      <c r="E175" s="53" t="inlineStr"/>
      <c r="F175" s="53" t="inlineStr"/>
      <c r="G175" s="53" t="inlineStr">
        <is>
          <t>DISPONIVEL</t>
        </is>
      </c>
      <c r="H175" s="53" t="inlineStr">
        <is>
          <t>USADO</t>
        </is>
      </c>
      <c r="I175" s="95" t="inlineStr">
        <is>
          <t>★★☆☆☆</t>
        </is>
      </c>
      <c r="J175" s="141" t="n">
        <v>936</v>
      </c>
      <c r="K175" s="143" t="n">
        <v>936</v>
      </c>
      <c r="L175" s="101">
        <f>IF(J175&gt;0,(J175-K175)/J175,"")</f>
        <v/>
      </c>
      <c r="M175" s="102" t="inlineStr"/>
    </row>
    <row r="176" ht="22" customHeight="1">
      <c r="A176" s="94" t="inlineStr">
        <is>
          <t>MMD-ILU-0248</t>
        </is>
      </c>
      <c r="B176" s="75" t="inlineStr">
        <is>
          <t>ST-S206</t>
        </is>
      </c>
      <c r="C176" s="58" t="inlineStr">
        <is>
          <t>Showtech</t>
        </is>
      </c>
      <c r="D176" s="58" t="inlineStr">
        <is>
          <t>MINI MOVING</t>
        </is>
      </c>
      <c r="E176" s="58" t="inlineStr"/>
      <c r="F176" s="58" t="inlineStr"/>
      <c r="G176" s="58" t="inlineStr">
        <is>
          <t>DISPONIVEL</t>
        </is>
      </c>
      <c r="H176" s="58" t="inlineStr">
        <is>
          <t>USADO</t>
        </is>
      </c>
      <c r="I176" s="95" t="inlineStr">
        <is>
          <t>★★☆☆☆</t>
        </is>
      </c>
      <c r="J176" s="142" t="n">
        <v>675</v>
      </c>
      <c r="K176" s="143" t="n">
        <v>639</v>
      </c>
      <c r="L176" s="98">
        <f>IF(J176&gt;0,(J176-K176)/J176,"")</f>
        <v/>
      </c>
      <c r="M176" s="99" t="inlineStr"/>
    </row>
    <row r="177" ht="22" customHeight="1">
      <c r="A177" s="54" t="inlineStr">
        <is>
          <t>MMD-ILU-0249</t>
        </is>
      </c>
      <c r="B177" s="79" t="inlineStr">
        <is>
          <t>ST-S206</t>
        </is>
      </c>
      <c r="C177" s="53" t="inlineStr">
        <is>
          <t>Showtech</t>
        </is>
      </c>
      <c r="D177" s="53" t="inlineStr">
        <is>
          <t>MINI MOVING</t>
        </is>
      </c>
      <c r="E177" s="53" t="inlineStr"/>
      <c r="F177" s="53" t="inlineStr"/>
      <c r="G177" s="53" t="inlineStr">
        <is>
          <t>DISPONIVEL</t>
        </is>
      </c>
      <c r="H177" s="53" t="inlineStr">
        <is>
          <t>USADO</t>
        </is>
      </c>
      <c r="I177" s="95" t="inlineStr">
        <is>
          <t>★★☆☆☆</t>
        </is>
      </c>
      <c r="J177" s="141" t="n">
        <v>675</v>
      </c>
      <c r="K177" s="143" t="n">
        <v>639</v>
      </c>
      <c r="L177" s="101">
        <f>IF(J177&gt;0,(J177-K177)/J177,"")</f>
        <v/>
      </c>
      <c r="M177" s="102" t="inlineStr"/>
    </row>
    <row r="178" ht="22" customHeight="1">
      <c r="A178" s="94" t="inlineStr">
        <is>
          <t>MMD-ILU-0250</t>
        </is>
      </c>
      <c r="B178" s="75" t="inlineStr">
        <is>
          <t>WASH SOG-837</t>
        </is>
      </c>
      <c r="C178" s="58" t="inlineStr">
        <is>
          <t>SOG</t>
        </is>
      </c>
      <c r="D178" s="58" t="inlineStr">
        <is>
          <t>MINI MOVING</t>
        </is>
      </c>
      <c r="E178" s="58" t="inlineStr"/>
      <c r="F178" s="58" t="inlineStr"/>
      <c r="G178" s="58" t="inlineStr">
        <is>
          <t>DISPONIVEL</t>
        </is>
      </c>
      <c r="H178" s="58" t="inlineStr">
        <is>
          <t>USADO</t>
        </is>
      </c>
      <c r="I178" s="95" t="inlineStr">
        <is>
          <t>★★☆☆☆</t>
        </is>
      </c>
      <c r="J178" s="142" t="n">
        <v>321</v>
      </c>
      <c r="K178" s="143" t="n">
        <v>321</v>
      </c>
      <c r="L178" s="98">
        <f>IF(J178&gt;0,(J178-K178)/J178,"")</f>
        <v/>
      </c>
      <c r="M178" s="99" t="inlineStr"/>
    </row>
    <row r="179" ht="22" customHeight="1">
      <c r="A179" s="54" t="inlineStr">
        <is>
          <t>MMD-ILU-0251</t>
        </is>
      </c>
      <c r="B179" s="79" t="inlineStr">
        <is>
          <t>BX-570 1909 SOG-30W</t>
        </is>
      </c>
      <c r="C179" s="53" t="inlineStr">
        <is>
          <t>Briwax</t>
        </is>
      </c>
      <c r="D179" s="53" t="inlineStr">
        <is>
          <t>MINI MOVING</t>
        </is>
      </c>
      <c r="E179" s="53" t="inlineStr"/>
      <c r="F179" s="53" t="inlineStr"/>
      <c r="G179" s="53" t="inlineStr">
        <is>
          <t>DISPONIVEL</t>
        </is>
      </c>
      <c r="H179" s="53" t="inlineStr">
        <is>
          <t>USADO</t>
        </is>
      </c>
      <c r="I179" s="95" t="inlineStr">
        <is>
          <t>★★☆☆☆</t>
        </is>
      </c>
      <c r="J179" s="141" t="n">
        <v>535</v>
      </c>
      <c r="K179" s="143" t="n">
        <v>700</v>
      </c>
      <c r="L179" s="101">
        <f>IF(J179&gt;0,(J179-K179)/J179,"")</f>
        <v/>
      </c>
      <c r="M179" s="102" t="inlineStr"/>
    </row>
    <row r="180" ht="22" customHeight="1">
      <c r="A180" s="94" t="inlineStr">
        <is>
          <t>MMD-ILU-0252</t>
        </is>
      </c>
      <c r="B180" s="75" t="inlineStr">
        <is>
          <t>BX-570 1909 SOG-30W</t>
        </is>
      </c>
      <c r="C180" s="58" t="inlineStr">
        <is>
          <t>Briwax</t>
        </is>
      </c>
      <c r="D180" s="58" t="inlineStr">
        <is>
          <t>MINI MOVING</t>
        </is>
      </c>
      <c r="E180" s="58" t="inlineStr"/>
      <c r="F180" s="58" t="inlineStr"/>
      <c r="G180" s="58" t="inlineStr">
        <is>
          <t>DISPONIVEL</t>
        </is>
      </c>
      <c r="H180" s="58" t="inlineStr">
        <is>
          <t>USADO</t>
        </is>
      </c>
      <c r="I180" s="95" t="inlineStr">
        <is>
          <t>★★☆☆☆</t>
        </is>
      </c>
      <c r="J180" s="142" t="n">
        <v>535</v>
      </c>
      <c r="K180" s="143" t="n">
        <v>700</v>
      </c>
      <c r="L180" s="98">
        <f>IF(J180&gt;0,(J180-K180)/J180,"")</f>
        <v/>
      </c>
      <c r="M180" s="99" t="inlineStr"/>
    </row>
    <row r="181" ht="22" customHeight="1">
      <c r="A181" s="54" t="inlineStr">
        <is>
          <t>MMD-ILU-0253</t>
        </is>
      </c>
      <c r="B181" s="79" t="inlineStr">
        <is>
          <t>BX-570 1909 SOG-30W</t>
        </is>
      </c>
      <c r="C181" s="53" t="inlineStr">
        <is>
          <t>Briwax</t>
        </is>
      </c>
      <c r="D181" s="53" t="inlineStr">
        <is>
          <t>MINI MOVING</t>
        </is>
      </c>
      <c r="E181" s="53" t="inlineStr"/>
      <c r="F181" s="53" t="inlineStr"/>
      <c r="G181" s="53" t="inlineStr">
        <is>
          <t>DISPONIVEL</t>
        </is>
      </c>
      <c r="H181" s="53" t="inlineStr">
        <is>
          <t>USADO</t>
        </is>
      </c>
      <c r="I181" s="95" t="inlineStr">
        <is>
          <t>★★☆☆☆</t>
        </is>
      </c>
      <c r="J181" s="141" t="n">
        <v>535</v>
      </c>
      <c r="K181" s="143" t="n">
        <v>700</v>
      </c>
      <c r="L181" s="101">
        <f>IF(J181&gt;0,(J181-K181)/J181,"")</f>
        <v/>
      </c>
      <c r="M181" s="102" t="inlineStr"/>
    </row>
    <row r="182" ht="22" customHeight="1">
      <c r="A182" s="94" t="inlineStr">
        <is>
          <t>MMD-ILU-0254</t>
        </is>
      </c>
      <c r="B182" s="75" t="inlineStr">
        <is>
          <t>BX-570 1909 SOG-30W</t>
        </is>
      </c>
      <c r="C182" s="58" t="inlineStr">
        <is>
          <t>Briwax</t>
        </is>
      </c>
      <c r="D182" s="58" t="inlineStr">
        <is>
          <t>MINI MOVING</t>
        </is>
      </c>
      <c r="E182" s="58" t="inlineStr"/>
      <c r="F182" s="58" t="inlineStr"/>
      <c r="G182" s="58" t="inlineStr">
        <is>
          <t>DISPONIVEL</t>
        </is>
      </c>
      <c r="H182" s="58" t="inlineStr">
        <is>
          <t>USADO</t>
        </is>
      </c>
      <c r="I182" s="95" t="inlineStr">
        <is>
          <t>★★☆☆☆</t>
        </is>
      </c>
      <c r="J182" s="142" t="n">
        <v>535</v>
      </c>
      <c r="K182" s="143" t="n">
        <v>700</v>
      </c>
      <c r="L182" s="98">
        <f>IF(J182&gt;0,(J182-K182)/J182,"")</f>
        <v/>
      </c>
      <c r="M182" s="99" t="inlineStr"/>
    </row>
    <row r="183" ht="22" customHeight="1">
      <c r="A183" s="54" t="inlineStr">
        <is>
          <t>MMD-ILU-0255</t>
        </is>
      </c>
      <c r="B183" s="79" t="inlineStr">
        <is>
          <t>BX-570 1909 SOG-30W</t>
        </is>
      </c>
      <c r="C183" s="53" t="inlineStr">
        <is>
          <t>Briwax</t>
        </is>
      </c>
      <c r="D183" s="53" t="inlineStr">
        <is>
          <t>MINI MOVING</t>
        </is>
      </c>
      <c r="E183" s="53" t="inlineStr"/>
      <c r="F183" s="53" t="inlineStr"/>
      <c r="G183" s="53" t="inlineStr">
        <is>
          <t>DISPONIVEL</t>
        </is>
      </c>
      <c r="H183" s="53" t="inlineStr">
        <is>
          <t>USADO</t>
        </is>
      </c>
      <c r="I183" s="95" t="inlineStr">
        <is>
          <t>★★☆☆☆</t>
        </is>
      </c>
      <c r="J183" s="141" t="n">
        <v>535</v>
      </c>
      <c r="K183" s="143" t="n">
        <v>700</v>
      </c>
      <c r="L183" s="101">
        <f>IF(J183&gt;0,(J183-K183)/J183,"")</f>
        <v/>
      </c>
      <c r="M183" s="102" t="inlineStr"/>
    </row>
    <row r="184" ht="22" customHeight="1">
      <c r="A184" s="94" t="inlineStr">
        <is>
          <t>MMD-ILU-0256</t>
        </is>
      </c>
      <c r="B184" s="75" t="inlineStr">
        <is>
          <t>EXEL LED SPOT EX-200</t>
        </is>
      </c>
      <c r="C184" s="58" t="inlineStr"/>
      <c r="D184" s="58" t="inlineStr">
        <is>
          <t>MINI MOVING</t>
        </is>
      </c>
      <c r="E184" s="58" t="inlineStr">
        <is>
          <t>802070665</t>
        </is>
      </c>
      <c r="F184" s="58" t="inlineStr"/>
      <c r="G184" s="58" t="inlineStr">
        <is>
          <t>DISPONIVEL</t>
        </is>
      </c>
      <c r="H184" s="58" t="inlineStr">
        <is>
          <t>USADO</t>
        </is>
      </c>
      <c r="I184" s="95" t="inlineStr">
        <is>
          <t>★★☆☆☆</t>
        </is>
      </c>
      <c r="J184" s="142" t="n">
        <v>675</v>
      </c>
      <c r="K184" s="143" t="n">
        <v>315</v>
      </c>
      <c r="L184" s="98">
        <f>IF(J184&gt;0,(J184-K184)/J184,"")</f>
        <v/>
      </c>
      <c r="M184" s="99" t="inlineStr"/>
    </row>
    <row r="185" ht="22" customHeight="1">
      <c r="A185" s="54" t="inlineStr">
        <is>
          <t>MMD-ILU-0257</t>
        </is>
      </c>
      <c r="B185" s="79" t="inlineStr">
        <is>
          <t>ILED GENIUS 30W</t>
        </is>
      </c>
      <c r="C185" s="53" t="inlineStr"/>
      <c r="D185" s="53" t="inlineStr">
        <is>
          <t>MINI MOVING</t>
        </is>
      </c>
      <c r="E185" s="53" t="inlineStr">
        <is>
          <t>053501-0036</t>
        </is>
      </c>
      <c r="F185" s="53" t="inlineStr"/>
      <c r="G185" s="53" t="inlineStr">
        <is>
          <t>DISPONIVEL</t>
        </is>
      </c>
      <c r="H185" s="53" t="inlineStr">
        <is>
          <t>USADO</t>
        </is>
      </c>
      <c r="I185" s="95" t="inlineStr">
        <is>
          <t>★★☆☆☆</t>
        </is>
      </c>
      <c r="J185" s="141" t="n">
        <v>675</v>
      </c>
      <c r="K185" s="143" t="n">
        <v>315</v>
      </c>
      <c r="L185" s="101">
        <f>IF(J185&gt;0,(J185-K185)/J185,"")</f>
        <v/>
      </c>
      <c r="M185" s="102" t="inlineStr"/>
    </row>
    <row r="186" ht="22" customHeight="1">
      <c r="A186" s="94" t="inlineStr">
        <is>
          <t>MMD-ILU-0258</t>
        </is>
      </c>
      <c r="B186" s="75" t="inlineStr">
        <is>
          <t>ILED GENIUS 30W</t>
        </is>
      </c>
      <c r="C186" s="58" t="inlineStr"/>
      <c r="D186" s="58" t="inlineStr">
        <is>
          <t>MINI MOVING</t>
        </is>
      </c>
      <c r="E186" s="58" t="inlineStr">
        <is>
          <t>053501-0045</t>
        </is>
      </c>
      <c r="F186" s="58" t="inlineStr"/>
      <c r="G186" s="58" t="inlineStr">
        <is>
          <t>DISPONIVEL</t>
        </is>
      </c>
      <c r="H186" s="58" t="inlineStr">
        <is>
          <t>USADO</t>
        </is>
      </c>
      <c r="I186" s="95" t="inlineStr">
        <is>
          <t>★★☆☆☆</t>
        </is>
      </c>
      <c r="J186" s="142" t="n">
        <v>675</v>
      </c>
      <c r="K186" s="143" t="n">
        <v>315</v>
      </c>
      <c r="L186" s="98">
        <f>IF(J186&gt;0,(J186-K186)/J186,"")</f>
        <v/>
      </c>
      <c r="M186" s="99" t="inlineStr"/>
    </row>
    <row r="187" ht="22" customHeight="1">
      <c r="A187" s="54" t="inlineStr">
        <is>
          <t>MMD-ILU-0259</t>
        </is>
      </c>
      <c r="B187" s="79" t="inlineStr">
        <is>
          <t>LM70</t>
        </is>
      </c>
      <c r="C187" s="53" t="inlineStr"/>
      <c r="D187" s="53" t="inlineStr">
        <is>
          <t>MINI MOVING</t>
        </is>
      </c>
      <c r="E187" s="53" t="inlineStr">
        <is>
          <t>LA1079004</t>
        </is>
      </c>
      <c r="F187" s="53" t="inlineStr"/>
      <c r="G187" s="53" t="inlineStr">
        <is>
          <t>DISPONIVEL</t>
        </is>
      </c>
      <c r="H187" s="53" t="inlineStr">
        <is>
          <t>USADO</t>
        </is>
      </c>
      <c r="I187" s="95" t="inlineStr">
        <is>
          <t>★★☆☆☆</t>
        </is>
      </c>
      <c r="J187" s="141" t="n">
        <v>675</v>
      </c>
      <c r="K187" s="143" t="n">
        <v>315</v>
      </c>
      <c r="L187" s="101">
        <f>IF(J187&gt;0,(J187-K187)/J187,"")</f>
        <v/>
      </c>
      <c r="M187" s="102" t="inlineStr"/>
    </row>
    <row r="188" ht="22" customHeight="1">
      <c r="A188" s="94" t="inlineStr">
        <is>
          <t>MMD-ILU-0260</t>
        </is>
      </c>
      <c r="B188" s="75" t="inlineStr">
        <is>
          <t>LS10</t>
        </is>
      </c>
      <c r="C188" s="58" t="inlineStr"/>
      <c r="D188" s="58" t="inlineStr">
        <is>
          <t>MINI MOVING</t>
        </is>
      </c>
      <c r="E188" s="58" t="inlineStr">
        <is>
          <t>LA716094</t>
        </is>
      </c>
      <c r="F188" s="58" t="inlineStr"/>
      <c r="G188" s="58" t="inlineStr">
        <is>
          <t>DISPONIVEL</t>
        </is>
      </c>
      <c r="H188" s="58" t="inlineStr">
        <is>
          <t>USADO</t>
        </is>
      </c>
      <c r="I188" s="95" t="inlineStr">
        <is>
          <t>★★☆☆☆</t>
        </is>
      </c>
      <c r="J188" s="142" t="n">
        <v>675</v>
      </c>
      <c r="K188" s="143" t="n">
        <v>315</v>
      </c>
      <c r="L188" s="98">
        <f>IF(J188&gt;0,(J188-K188)/J188,"")</f>
        <v/>
      </c>
      <c r="M188" s="99" t="inlineStr"/>
    </row>
    <row r="189" ht="22" customHeight="1">
      <c r="A189" s="54" t="inlineStr">
        <is>
          <t>MMD-ILU-0261</t>
        </is>
      </c>
      <c r="B189" s="79" t="inlineStr">
        <is>
          <t>MINI B-EYE 7X15W HW-A006B</t>
        </is>
      </c>
      <c r="C189" s="53" t="inlineStr"/>
      <c r="D189" s="53" t="inlineStr">
        <is>
          <t>MINI MOVING</t>
        </is>
      </c>
      <c r="E189" s="53" t="inlineStr"/>
      <c r="F189" s="53" t="inlineStr"/>
      <c r="G189" s="53" t="inlineStr">
        <is>
          <t>DISPONIVEL</t>
        </is>
      </c>
      <c r="H189" s="53" t="inlineStr">
        <is>
          <t>USADO</t>
        </is>
      </c>
      <c r="I189" s="95" t="inlineStr">
        <is>
          <t>★★☆☆☆</t>
        </is>
      </c>
      <c r="J189" s="141" t="n">
        <v>675</v>
      </c>
      <c r="K189" s="143" t="n">
        <v>315</v>
      </c>
      <c r="L189" s="101">
        <f>IF(J189&gt;0,(J189-K189)/J189,"")</f>
        <v/>
      </c>
      <c r="M189" s="102" t="inlineStr"/>
    </row>
    <row r="190" ht="22" customHeight="1">
      <c r="A190" s="94" t="inlineStr">
        <is>
          <t>MMD-ILU-0262</t>
        </is>
      </c>
      <c r="B190" s="75" t="inlineStr">
        <is>
          <t>MINI B-EYE 7X15W HW-A006B</t>
        </is>
      </c>
      <c r="C190" s="58" t="inlineStr"/>
      <c r="D190" s="58" t="inlineStr">
        <is>
          <t>MINI MOVING</t>
        </is>
      </c>
      <c r="E190" s="58" t="inlineStr"/>
      <c r="F190" s="58" t="inlineStr"/>
      <c r="G190" s="58" t="inlineStr">
        <is>
          <t>DISPONIVEL</t>
        </is>
      </c>
      <c r="H190" s="58" t="inlineStr">
        <is>
          <t>USADO</t>
        </is>
      </c>
      <c r="I190" s="95" t="inlineStr">
        <is>
          <t>★★☆☆☆</t>
        </is>
      </c>
      <c r="J190" s="142" t="n">
        <v>675</v>
      </c>
      <c r="K190" s="143" t="n">
        <v>315</v>
      </c>
      <c r="L190" s="98">
        <f>IF(J190&gt;0,(J190-K190)/J190,"")</f>
        <v/>
      </c>
      <c r="M190" s="99" t="inlineStr"/>
    </row>
    <row r="191" ht="22" customHeight="1">
      <c r="A191" s="54" t="inlineStr">
        <is>
          <t>MMD-ILU-0263</t>
        </is>
      </c>
      <c r="B191" s="79" t="inlineStr">
        <is>
          <t>STARLUX MODEL ML136 (BOLINHA)</t>
        </is>
      </c>
      <c r="C191" s="53" t="inlineStr"/>
      <c r="D191" s="53" t="inlineStr">
        <is>
          <t>MINI MOVING</t>
        </is>
      </c>
      <c r="E191" s="53" t="inlineStr">
        <is>
          <t>MHL136-043 / 07</t>
        </is>
      </c>
      <c r="F191" s="53" t="inlineStr"/>
      <c r="G191" s="53" t="inlineStr">
        <is>
          <t>DISPONIVEL</t>
        </is>
      </c>
      <c r="H191" s="53" t="inlineStr">
        <is>
          <t>USADO</t>
        </is>
      </c>
      <c r="I191" s="95" t="inlineStr">
        <is>
          <t>★★☆☆☆</t>
        </is>
      </c>
      <c r="J191" s="141" t="n">
        <v>675</v>
      </c>
      <c r="K191" s="143" t="n">
        <v>315</v>
      </c>
      <c r="L191" s="101">
        <f>IF(J191&gt;0,(J191-K191)/J191,"")</f>
        <v/>
      </c>
      <c r="M191" s="102" t="inlineStr"/>
    </row>
    <row r="192" ht="22" customHeight="1">
      <c r="A192" s="94" t="inlineStr">
        <is>
          <t>MMD-ILU-0264</t>
        </is>
      </c>
      <c r="B192" s="75" t="inlineStr">
        <is>
          <t>STARLUX MODEL ML136 (BOLINHA)</t>
        </is>
      </c>
      <c r="C192" s="58" t="inlineStr"/>
      <c r="D192" s="58" t="inlineStr">
        <is>
          <t>MINI MOVING</t>
        </is>
      </c>
      <c r="E192" s="58" t="inlineStr"/>
      <c r="F192" s="58" t="inlineStr"/>
      <c r="G192" s="58" t="inlineStr">
        <is>
          <t>DISPONIVEL</t>
        </is>
      </c>
      <c r="H192" s="58" t="inlineStr">
        <is>
          <t>USADO</t>
        </is>
      </c>
      <c r="I192" s="95" t="inlineStr">
        <is>
          <t>★★☆☆☆</t>
        </is>
      </c>
      <c r="J192" s="142" t="n">
        <v>675</v>
      </c>
      <c r="K192" s="143" t="n">
        <v>315</v>
      </c>
      <c r="L192" s="98">
        <f>IF(J192&gt;0,(J192-K192)/J192,"")</f>
        <v/>
      </c>
      <c r="M192" s="99" t="inlineStr"/>
    </row>
    <row r="193" ht="22" customHeight="1">
      <c r="A193" s="54" t="inlineStr">
        <is>
          <t>MMD-ILU-0265</t>
        </is>
      </c>
      <c r="B193" s="79" t="inlineStr">
        <is>
          <t>WASH SOG-837</t>
        </is>
      </c>
      <c r="C193" s="53" t="inlineStr">
        <is>
          <t>SOG</t>
        </is>
      </c>
      <c r="D193" s="53" t="inlineStr">
        <is>
          <t>MINI MOVING</t>
        </is>
      </c>
      <c r="E193" s="53" t="inlineStr"/>
      <c r="F193" s="53" t="inlineStr"/>
      <c r="G193" s="53" t="inlineStr">
        <is>
          <t>DISPONIVEL</t>
        </is>
      </c>
      <c r="H193" s="53" t="inlineStr">
        <is>
          <t>USADO</t>
        </is>
      </c>
      <c r="I193" s="95" t="inlineStr">
        <is>
          <t>★★☆☆☆</t>
        </is>
      </c>
      <c r="J193" s="141" t="n">
        <v>321</v>
      </c>
      <c r="K193" s="143" t="n">
        <v>321</v>
      </c>
      <c r="L193" s="101">
        <f>IF(J193&gt;0,(J193-K193)/J193,"")</f>
        <v/>
      </c>
      <c r="M193" s="102" t="inlineStr"/>
    </row>
    <row r="194" ht="22" customHeight="1">
      <c r="A194" s="94" t="inlineStr">
        <is>
          <t>MMD-ILU-0266</t>
        </is>
      </c>
      <c r="B194" s="75" t="inlineStr">
        <is>
          <t>SOG-610A BEAM</t>
        </is>
      </c>
      <c r="C194" s="58" t="inlineStr">
        <is>
          <t>SOG</t>
        </is>
      </c>
      <c r="D194" s="58" t="inlineStr">
        <is>
          <t>MINI MOVING</t>
        </is>
      </c>
      <c r="E194" s="58" t="inlineStr"/>
      <c r="F194" s="58" t="inlineStr"/>
      <c r="G194" s="58" t="inlineStr">
        <is>
          <t>DISPONIVEL</t>
        </is>
      </c>
      <c r="H194" s="58" t="inlineStr">
        <is>
          <t>USADO</t>
        </is>
      </c>
      <c r="I194" s="95" t="inlineStr">
        <is>
          <t>★★☆☆☆</t>
        </is>
      </c>
      <c r="J194" s="142" t="n">
        <v>936</v>
      </c>
      <c r="K194" s="143" t="n">
        <v>936</v>
      </c>
      <c r="L194" s="98">
        <f>IF(J194&gt;0,(J194-K194)/J194,"")</f>
        <v/>
      </c>
      <c r="M194" s="99" t="inlineStr"/>
    </row>
    <row r="195" ht="22" customHeight="1">
      <c r="A195" s="54" t="inlineStr">
        <is>
          <t>MMD-ILU-0267</t>
        </is>
      </c>
      <c r="B195" s="79" t="inlineStr">
        <is>
          <t>SOG-610A BEAM</t>
        </is>
      </c>
      <c r="C195" s="53" t="inlineStr">
        <is>
          <t>SOG</t>
        </is>
      </c>
      <c r="D195" s="53" t="inlineStr">
        <is>
          <t>MINI MOVING</t>
        </is>
      </c>
      <c r="E195" s="53" t="inlineStr"/>
      <c r="F195" s="53" t="inlineStr"/>
      <c r="G195" s="53" t="inlineStr">
        <is>
          <t>DISPONIVEL</t>
        </is>
      </c>
      <c r="H195" s="53" t="inlineStr">
        <is>
          <t>USADO</t>
        </is>
      </c>
      <c r="I195" s="95" t="inlineStr">
        <is>
          <t>★★☆☆☆</t>
        </is>
      </c>
      <c r="J195" s="141" t="n">
        <v>936</v>
      </c>
      <c r="K195" s="143" t="n">
        <v>936</v>
      </c>
      <c r="L195" s="101">
        <f>IF(J195&gt;0,(J195-K195)/J195,"")</f>
        <v/>
      </c>
      <c r="M195" s="102" t="inlineStr"/>
    </row>
    <row r="196" ht="24" customHeight="1">
      <c r="A196" s="92" t="inlineStr">
        <is>
          <t xml:space="preserve">  OUTDOOR  (76)</t>
        </is>
      </c>
    </row>
    <row r="197" ht="22" customHeight="1">
      <c r="A197" s="94" t="inlineStr">
        <is>
          <t>MMD-ILU-0001</t>
        </is>
      </c>
      <c r="B197" s="75" t="inlineStr">
        <is>
          <t>BWX BX-314 1707</t>
        </is>
      </c>
      <c r="C197" s="58" t="inlineStr">
        <is>
          <t>Briwax</t>
        </is>
      </c>
      <c r="D197" s="58" t="inlineStr">
        <is>
          <t>OUTDOOR</t>
        </is>
      </c>
      <c r="E197" s="58" t="inlineStr"/>
      <c r="F197" s="58" t="inlineStr"/>
      <c r="G197" s="58" t="inlineStr">
        <is>
          <t>DISPONIVEL</t>
        </is>
      </c>
      <c r="H197" s="58" t="inlineStr">
        <is>
          <t>USADO</t>
        </is>
      </c>
      <c r="I197" s="95" t="inlineStr">
        <is>
          <t>★★☆☆☆</t>
        </is>
      </c>
      <c r="J197" s="142" t="n">
        <v>640</v>
      </c>
      <c r="K197" s="143" t="n">
        <v>640</v>
      </c>
      <c r="L197" s="98">
        <f>IF(J197&gt;0,(J197-K197)/J197,"")</f>
        <v/>
      </c>
      <c r="M197" s="99" t="inlineStr"/>
    </row>
    <row r="198" ht="22" customHeight="1">
      <c r="A198" s="54" t="inlineStr">
        <is>
          <t>MMD-ILU-0002</t>
        </is>
      </c>
      <c r="B198" s="79" t="inlineStr">
        <is>
          <t>BWX BX-314 1707</t>
        </is>
      </c>
      <c r="C198" s="53" t="inlineStr">
        <is>
          <t>Briwax</t>
        </is>
      </c>
      <c r="D198" s="53" t="inlineStr">
        <is>
          <t>OUTDOOR</t>
        </is>
      </c>
      <c r="E198" s="53" t="inlineStr"/>
      <c r="F198" s="53" t="inlineStr"/>
      <c r="G198" s="53" t="inlineStr">
        <is>
          <t>DISPONIVEL</t>
        </is>
      </c>
      <c r="H198" s="53" t="inlineStr">
        <is>
          <t>USADO</t>
        </is>
      </c>
      <c r="I198" s="95" t="inlineStr">
        <is>
          <t>★★☆☆☆</t>
        </is>
      </c>
      <c r="J198" s="141" t="n">
        <v>640</v>
      </c>
      <c r="K198" s="143" t="n">
        <v>640</v>
      </c>
      <c r="L198" s="101">
        <f>IF(J198&gt;0,(J198-K198)/J198,"")</f>
        <v/>
      </c>
      <c r="M198" s="102" t="inlineStr"/>
    </row>
    <row r="199" ht="22" customHeight="1">
      <c r="A199" s="94" t="inlineStr">
        <is>
          <t>MMD-ILU-0003</t>
        </is>
      </c>
      <c r="B199" s="75" t="inlineStr">
        <is>
          <t>LP-354</t>
        </is>
      </c>
      <c r="C199" s="58" t="inlineStr">
        <is>
          <t>Hot Machine</t>
        </is>
      </c>
      <c r="D199" s="58" t="inlineStr">
        <is>
          <t>OUTDOOR</t>
        </is>
      </c>
      <c r="E199" s="58" t="inlineStr"/>
      <c r="F199" s="58" t="inlineStr"/>
      <c r="G199" s="58" t="inlineStr">
        <is>
          <t>DISPONIVEL</t>
        </is>
      </c>
      <c r="H199" s="58" t="inlineStr">
        <is>
          <t>USADO</t>
        </is>
      </c>
      <c r="I199" s="95" t="inlineStr">
        <is>
          <t>★★☆☆☆</t>
        </is>
      </c>
      <c r="J199" s="142" t="n">
        <v>450</v>
      </c>
      <c r="K199" s="143" t="n">
        <v>450</v>
      </c>
      <c r="L199" s="98">
        <f>IF(J199&gt;0,(J199-K199)/J199,"")</f>
        <v/>
      </c>
      <c r="M199" s="99" t="inlineStr"/>
    </row>
    <row r="200" ht="22" customHeight="1">
      <c r="A200" s="54" t="inlineStr">
        <is>
          <t>MMD-ILU-0004</t>
        </is>
      </c>
      <c r="B200" s="79" t="inlineStr">
        <is>
          <t>IP65</t>
        </is>
      </c>
      <c r="C200" s="53" t="inlineStr"/>
      <c r="D200" s="53" t="inlineStr">
        <is>
          <t>OUTDOOR</t>
        </is>
      </c>
      <c r="E200" s="53" t="inlineStr">
        <is>
          <t>742</t>
        </is>
      </c>
      <c r="F200" s="53" t="inlineStr"/>
      <c r="G200" s="53" t="inlineStr">
        <is>
          <t>DISPONIVEL</t>
        </is>
      </c>
      <c r="H200" s="53" t="inlineStr">
        <is>
          <t>USADO</t>
        </is>
      </c>
      <c r="I200" s="95" t="inlineStr">
        <is>
          <t>★★☆☆☆</t>
        </is>
      </c>
      <c r="J200" s="141" t="n">
        <v>1350</v>
      </c>
      <c r="K200" s="143" t="n">
        <v>1290</v>
      </c>
      <c r="L200" s="101">
        <f>IF(J200&gt;0,(J200-K200)/J200,"")</f>
        <v/>
      </c>
      <c r="M200" s="102" t="inlineStr"/>
    </row>
    <row r="201" ht="22" customHeight="1">
      <c r="A201" s="94" t="inlineStr">
        <is>
          <t>MMD-ILU-0005</t>
        </is>
      </c>
      <c r="B201" s="75" t="inlineStr">
        <is>
          <t>SEM ID (? )</t>
        </is>
      </c>
      <c r="C201" s="58" t="inlineStr">
        <is>
          <t>Skypix</t>
        </is>
      </c>
      <c r="D201" s="58" t="inlineStr">
        <is>
          <t>OUTDOOR</t>
        </is>
      </c>
      <c r="E201" s="58" t="inlineStr"/>
      <c r="F201" s="58" t="inlineStr"/>
      <c r="G201" s="58" t="inlineStr">
        <is>
          <t>DISPONIVEL</t>
        </is>
      </c>
      <c r="H201" s="58" t="inlineStr">
        <is>
          <t>USADO</t>
        </is>
      </c>
      <c r="I201" s="95" t="inlineStr">
        <is>
          <t>★★☆☆☆</t>
        </is>
      </c>
      <c r="J201" s="142" t="n">
        <v>640</v>
      </c>
      <c r="K201" s="143" t="n">
        <v>640</v>
      </c>
      <c r="L201" s="98">
        <f>IF(J201&gt;0,(J201-K201)/J201,"")</f>
        <v/>
      </c>
      <c r="M201" s="99" t="inlineStr"/>
    </row>
    <row r="202" ht="22" customHeight="1">
      <c r="A202" s="54" t="inlineStr">
        <is>
          <t>MMD-ILU-0006</t>
        </is>
      </c>
      <c r="B202" s="79" t="inlineStr">
        <is>
          <t>LP-354</t>
        </is>
      </c>
      <c r="C202" s="53" t="inlineStr">
        <is>
          <t>Hot Machine</t>
        </is>
      </c>
      <c r="D202" s="53" t="inlineStr">
        <is>
          <t>OUTDOOR</t>
        </is>
      </c>
      <c r="E202" s="53" t="inlineStr"/>
      <c r="F202" s="53" t="inlineStr"/>
      <c r="G202" s="53" t="inlineStr">
        <is>
          <t>DISPONIVEL</t>
        </is>
      </c>
      <c r="H202" s="53" t="inlineStr">
        <is>
          <t>USADO</t>
        </is>
      </c>
      <c r="I202" s="95" t="inlineStr">
        <is>
          <t>★★☆☆☆</t>
        </is>
      </c>
      <c r="J202" s="141" t="n">
        <v>450</v>
      </c>
      <c r="K202" s="143" t="n">
        <v>450</v>
      </c>
      <c r="L202" s="101">
        <f>IF(J202&gt;0,(J202-K202)/J202,"")</f>
        <v/>
      </c>
      <c r="M202" s="102" t="inlineStr"/>
    </row>
    <row r="203" ht="22" customHeight="1">
      <c r="A203" s="94" t="inlineStr">
        <is>
          <t>MMD-ILU-0007</t>
        </is>
      </c>
      <c r="B203" s="75" t="inlineStr">
        <is>
          <t>SEM ID (? )</t>
        </is>
      </c>
      <c r="C203" s="58" t="inlineStr">
        <is>
          <t>Skypix</t>
        </is>
      </c>
      <c r="D203" s="58" t="inlineStr">
        <is>
          <t>OUTDOOR</t>
        </is>
      </c>
      <c r="E203" s="58" t="inlineStr"/>
      <c r="F203" s="58" t="inlineStr"/>
      <c r="G203" s="58" t="inlineStr">
        <is>
          <t>DISPONIVEL</t>
        </is>
      </c>
      <c r="H203" s="58" t="inlineStr">
        <is>
          <t>USADO</t>
        </is>
      </c>
      <c r="I203" s="95" t="inlineStr">
        <is>
          <t>★★☆☆☆</t>
        </is>
      </c>
      <c r="J203" s="142" t="n">
        <v>640</v>
      </c>
      <c r="K203" s="143" t="n">
        <v>640</v>
      </c>
      <c r="L203" s="98">
        <f>IF(J203&gt;0,(J203-K203)/J203,"")</f>
        <v/>
      </c>
      <c r="M203" s="99" t="inlineStr"/>
    </row>
    <row r="204" ht="22" customHeight="1">
      <c r="A204" s="54" t="inlineStr">
        <is>
          <t>MMD-ILU-0008</t>
        </is>
      </c>
      <c r="B204" s="79" t="inlineStr">
        <is>
          <t>SEM ID</t>
        </is>
      </c>
      <c r="C204" s="53" t="inlineStr">
        <is>
          <t>Skypix</t>
        </is>
      </c>
      <c r="D204" s="53" t="inlineStr">
        <is>
          <t>OUTDOOR</t>
        </is>
      </c>
      <c r="E204" s="53" t="inlineStr"/>
      <c r="F204" s="53" t="inlineStr"/>
      <c r="G204" s="53" t="inlineStr">
        <is>
          <t>DISPONIVEL</t>
        </is>
      </c>
      <c r="H204" s="53" t="inlineStr">
        <is>
          <t>USADO</t>
        </is>
      </c>
      <c r="I204" s="95" t="inlineStr">
        <is>
          <t>★★☆☆☆</t>
        </is>
      </c>
      <c r="J204" s="141" t="n">
        <v>640</v>
      </c>
      <c r="K204" s="143" t="n">
        <v>640</v>
      </c>
      <c r="L204" s="101">
        <f>IF(J204&gt;0,(J204-K204)/J204,"")</f>
        <v/>
      </c>
      <c r="M204" s="102" t="inlineStr"/>
    </row>
    <row r="205" ht="22" customHeight="1">
      <c r="A205" s="94" t="inlineStr">
        <is>
          <t>MMD-ILU-0009</t>
        </is>
      </c>
      <c r="B205" s="75" t="inlineStr">
        <is>
          <t>LP-354</t>
        </is>
      </c>
      <c r="C205" s="58" t="inlineStr">
        <is>
          <t>Hot Machine</t>
        </is>
      </c>
      <c r="D205" s="58" t="inlineStr">
        <is>
          <t>OUTDOOR</t>
        </is>
      </c>
      <c r="E205" s="58" t="inlineStr"/>
      <c r="F205" s="58" t="inlineStr"/>
      <c r="G205" s="58" t="inlineStr">
        <is>
          <t>DISPONIVEL</t>
        </is>
      </c>
      <c r="H205" s="58" t="inlineStr">
        <is>
          <t>USADO</t>
        </is>
      </c>
      <c r="I205" s="95" t="inlineStr">
        <is>
          <t>★★☆☆☆</t>
        </is>
      </c>
      <c r="J205" s="142" t="n">
        <v>450</v>
      </c>
      <c r="K205" s="143" t="n">
        <v>450</v>
      </c>
      <c r="L205" s="98">
        <f>IF(J205&gt;0,(J205-K205)/J205,"")</f>
        <v/>
      </c>
      <c r="M205" s="99" t="inlineStr"/>
    </row>
    <row r="206" ht="22" customHeight="1">
      <c r="A206" s="54" t="inlineStr">
        <is>
          <t>MMD-ILU-0010</t>
        </is>
      </c>
      <c r="B206" s="79" t="inlineStr">
        <is>
          <t>IP65</t>
        </is>
      </c>
      <c r="C206" s="53" t="inlineStr"/>
      <c r="D206" s="53" t="inlineStr">
        <is>
          <t>OUTDOOR</t>
        </is>
      </c>
      <c r="E206" s="53" t="inlineStr">
        <is>
          <t>737</t>
        </is>
      </c>
      <c r="F206" s="53" t="inlineStr"/>
      <c r="G206" s="53" t="inlineStr">
        <is>
          <t>DISPONIVEL</t>
        </is>
      </c>
      <c r="H206" s="53" t="inlineStr">
        <is>
          <t>USADO</t>
        </is>
      </c>
      <c r="I206" s="95" t="inlineStr">
        <is>
          <t>★★☆☆☆</t>
        </is>
      </c>
      <c r="J206" s="141" t="n">
        <v>1350</v>
      </c>
      <c r="K206" s="143" t="n">
        <v>1290</v>
      </c>
      <c r="L206" s="101">
        <f>IF(J206&gt;0,(J206-K206)/J206,"")</f>
        <v/>
      </c>
      <c r="M206" s="102" t="inlineStr"/>
    </row>
    <row r="207" ht="22" customHeight="1">
      <c r="A207" s="94" t="inlineStr">
        <is>
          <t>MMD-ILU-0011</t>
        </is>
      </c>
      <c r="B207" s="75" t="inlineStr">
        <is>
          <t>LP-354</t>
        </is>
      </c>
      <c r="C207" s="58" t="inlineStr">
        <is>
          <t>Hot Machine</t>
        </is>
      </c>
      <c r="D207" s="58" t="inlineStr">
        <is>
          <t>OUTDOOR</t>
        </is>
      </c>
      <c r="E207" s="58" t="inlineStr"/>
      <c r="F207" s="58" t="inlineStr"/>
      <c r="G207" s="58" t="inlineStr">
        <is>
          <t>DISPONIVEL</t>
        </is>
      </c>
      <c r="H207" s="58" t="inlineStr">
        <is>
          <t>USADO</t>
        </is>
      </c>
      <c r="I207" s="95" t="inlineStr">
        <is>
          <t>★★☆☆☆</t>
        </is>
      </c>
      <c r="J207" s="142" t="n">
        <v>450</v>
      </c>
      <c r="K207" s="143" t="n">
        <v>450</v>
      </c>
      <c r="L207" s="98">
        <f>IF(J207&gt;0,(J207-K207)/J207,"")</f>
        <v/>
      </c>
      <c r="M207" s="99" t="inlineStr"/>
    </row>
    <row r="208" ht="22" customHeight="1">
      <c r="A208" s="54" t="inlineStr">
        <is>
          <t>MMD-ILU-0012</t>
        </is>
      </c>
      <c r="B208" s="79" t="inlineStr">
        <is>
          <t>IP65</t>
        </is>
      </c>
      <c r="C208" s="53" t="inlineStr"/>
      <c r="D208" s="53" t="inlineStr">
        <is>
          <t>OUTDOOR</t>
        </is>
      </c>
      <c r="E208" s="53" t="inlineStr">
        <is>
          <t>731</t>
        </is>
      </c>
      <c r="F208" s="53" t="inlineStr"/>
      <c r="G208" s="53" t="inlineStr">
        <is>
          <t>DISPONIVEL</t>
        </is>
      </c>
      <c r="H208" s="53" t="inlineStr">
        <is>
          <t>USADO</t>
        </is>
      </c>
      <c r="I208" s="95" t="inlineStr">
        <is>
          <t>★★☆☆☆</t>
        </is>
      </c>
      <c r="J208" s="141" t="n">
        <v>1350</v>
      </c>
      <c r="K208" s="143" t="n">
        <v>1290</v>
      </c>
      <c r="L208" s="101">
        <f>IF(J208&gt;0,(J208-K208)/J208,"")</f>
        <v/>
      </c>
      <c r="M208" s="102" t="inlineStr"/>
    </row>
    <row r="209" ht="22" customHeight="1">
      <c r="A209" s="94" t="inlineStr">
        <is>
          <t>MMD-ILU-0014</t>
        </is>
      </c>
      <c r="B209" s="75" t="inlineStr">
        <is>
          <t>LP-354</t>
        </is>
      </c>
      <c r="C209" s="58" t="inlineStr">
        <is>
          <t>Hot Machine</t>
        </is>
      </c>
      <c r="D209" s="58" t="inlineStr">
        <is>
          <t>OUTDOOR</t>
        </is>
      </c>
      <c r="E209" s="58" t="inlineStr"/>
      <c r="F209" s="58" t="inlineStr"/>
      <c r="G209" s="58" t="inlineStr">
        <is>
          <t>DISPONIVEL</t>
        </is>
      </c>
      <c r="H209" s="58" t="inlineStr">
        <is>
          <t>USADO</t>
        </is>
      </c>
      <c r="I209" s="95" t="inlineStr">
        <is>
          <t>★★☆☆☆</t>
        </is>
      </c>
      <c r="J209" s="142" t="n">
        <v>450</v>
      </c>
      <c r="K209" s="143" t="n">
        <v>450</v>
      </c>
      <c r="L209" s="98">
        <f>IF(J209&gt;0,(J209-K209)/J209,"")</f>
        <v/>
      </c>
      <c r="M209" s="99" t="inlineStr"/>
    </row>
    <row r="210" ht="22" customHeight="1">
      <c r="A210" s="54" t="inlineStr">
        <is>
          <t>MMD-ILU-0015</t>
        </is>
      </c>
      <c r="B210" s="79" t="inlineStr">
        <is>
          <t>PAR LED SOMENTE BRANCO QUENTE</t>
        </is>
      </c>
      <c r="C210" s="53" t="inlineStr"/>
      <c r="D210" s="53" t="inlineStr">
        <is>
          <t>OUTDOOR</t>
        </is>
      </c>
      <c r="E210" s="53" t="inlineStr"/>
      <c r="F210" s="53" t="inlineStr"/>
      <c r="G210" s="53" t="inlineStr">
        <is>
          <t>DISPONIVEL</t>
        </is>
      </c>
      <c r="H210" s="53" t="inlineStr">
        <is>
          <t>USADO</t>
        </is>
      </c>
      <c r="I210" s="95" t="inlineStr">
        <is>
          <t>★★☆☆☆</t>
        </is>
      </c>
      <c r="J210" s="141" t="n">
        <v>1350</v>
      </c>
      <c r="K210" s="143" t="n">
        <v>1290</v>
      </c>
      <c r="L210" s="101">
        <f>IF(J210&gt;0,(J210-K210)/J210,"")</f>
        <v/>
      </c>
      <c r="M210" s="102" t="inlineStr"/>
    </row>
    <row r="211" ht="22" customHeight="1">
      <c r="A211" s="94" t="inlineStr">
        <is>
          <t>MMD-ILU-0016</t>
        </is>
      </c>
      <c r="B211" s="75" t="inlineStr">
        <is>
          <t>PAR LED SOMENTE BRANCO QUENTE</t>
        </is>
      </c>
      <c r="C211" s="58" t="inlineStr"/>
      <c r="D211" s="58" t="inlineStr">
        <is>
          <t>OUTDOOR</t>
        </is>
      </c>
      <c r="E211" s="58" t="inlineStr"/>
      <c r="F211" s="58" t="inlineStr"/>
      <c r="G211" s="58" t="inlineStr">
        <is>
          <t>DISPONIVEL</t>
        </is>
      </c>
      <c r="H211" s="58" t="inlineStr">
        <is>
          <t>USADO</t>
        </is>
      </c>
      <c r="I211" s="95" t="inlineStr">
        <is>
          <t>★★☆☆☆</t>
        </is>
      </c>
      <c r="J211" s="142" t="n">
        <v>1350</v>
      </c>
      <c r="K211" s="143" t="n">
        <v>1290</v>
      </c>
      <c r="L211" s="98">
        <f>IF(J211&gt;0,(J211-K211)/J211,"")</f>
        <v/>
      </c>
      <c r="M211" s="99" t="inlineStr"/>
    </row>
    <row r="212" ht="22" customHeight="1">
      <c r="A212" s="54" t="inlineStr">
        <is>
          <t>MMD-ILU-0017</t>
        </is>
      </c>
      <c r="B212" s="79" t="inlineStr">
        <is>
          <t>PAR LED SOMENTE BRANCO QUENTE</t>
        </is>
      </c>
      <c r="C212" s="53" t="inlineStr"/>
      <c r="D212" s="53" t="inlineStr">
        <is>
          <t>OUTDOOR</t>
        </is>
      </c>
      <c r="E212" s="53" t="inlineStr"/>
      <c r="F212" s="53" t="inlineStr"/>
      <c r="G212" s="53" t="inlineStr">
        <is>
          <t>DISPONIVEL</t>
        </is>
      </c>
      <c r="H212" s="53" t="inlineStr">
        <is>
          <t>USADO</t>
        </is>
      </c>
      <c r="I212" s="95" t="inlineStr">
        <is>
          <t>★★☆☆☆</t>
        </is>
      </c>
      <c r="J212" s="141" t="n">
        <v>1350</v>
      </c>
      <c r="K212" s="143" t="n">
        <v>1290</v>
      </c>
      <c r="L212" s="101">
        <f>IF(J212&gt;0,(J212-K212)/J212,"")</f>
        <v/>
      </c>
      <c r="M212" s="102" t="inlineStr"/>
    </row>
    <row r="213" ht="22" customHeight="1">
      <c r="A213" s="94" t="inlineStr">
        <is>
          <t>MMD-ILU-0018</t>
        </is>
      </c>
      <c r="B213" s="75" t="inlineStr">
        <is>
          <t>AB-002</t>
        </is>
      </c>
      <c r="C213" s="58" t="inlineStr">
        <is>
          <t>Briwax</t>
        </is>
      </c>
      <c r="D213" s="58" t="inlineStr">
        <is>
          <t>OUTDOOR</t>
        </is>
      </c>
      <c r="E213" s="58" t="inlineStr"/>
      <c r="F213" s="58" t="inlineStr"/>
      <c r="G213" s="58" t="inlineStr">
        <is>
          <t>DISPONIVEL</t>
        </is>
      </c>
      <c r="H213" s="58" t="inlineStr">
        <is>
          <t>USADO</t>
        </is>
      </c>
      <c r="I213" s="95" t="inlineStr">
        <is>
          <t>★★☆☆☆</t>
        </is>
      </c>
      <c r="J213" s="142" t="n">
        <v>640</v>
      </c>
      <c r="K213" s="143" t="n">
        <v>640</v>
      </c>
      <c r="L213" s="98">
        <f>IF(J213&gt;0,(J213-K213)/J213,"")</f>
        <v/>
      </c>
      <c r="M213" s="99" t="inlineStr"/>
    </row>
    <row r="214" ht="22" customHeight="1">
      <c r="A214" s="54" t="inlineStr">
        <is>
          <t>MMD-ILU-0023</t>
        </is>
      </c>
      <c r="B214" s="79" t="inlineStr">
        <is>
          <t>18 PONTOS LUZ</t>
        </is>
      </c>
      <c r="C214" s="53" t="inlineStr"/>
      <c r="D214" s="53" t="inlineStr">
        <is>
          <t>OUTDOOR</t>
        </is>
      </c>
      <c r="E214" s="53" t="inlineStr"/>
      <c r="F214" s="53" t="inlineStr"/>
      <c r="G214" s="53" t="inlineStr">
        <is>
          <t>DISPONIVEL</t>
        </is>
      </c>
      <c r="H214" s="53" t="inlineStr">
        <is>
          <t>USADO</t>
        </is>
      </c>
      <c r="I214" s="95" t="inlineStr">
        <is>
          <t>★★☆☆☆</t>
        </is>
      </c>
      <c r="J214" s="141" t="n">
        <v>1350</v>
      </c>
      <c r="K214" s="143" t="n">
        <v>1290</v>
      </c>
      <c r="L214" s="101">
        <f>IF(J214&gt;0,(J214-K214)/J214,"")</f>
        <v/>
      </c>
      <c r="M214" s="102" t="inlineStr"/>
    </row>
    <row r="215" ht="22" customHeight="1">
      <c r="A215" s="94" t="inlineStr">
        <is>
          <t>MMD-ILU-0032</t>
        </is>
      </c>
      <c r="B215" s="75" t="inlineStr">
        <is>
          <t>BX-207 0822</t>
        </is>
      </c>
      <c r="C215" s="58" t="inlineStr">
        <is>
          <t>Briwax</t>
        </is>
      </c>
      <c r="D215" s="58" t="inlineStr">
        <is>
          <t>OUTDOOR</t>
        </is>
      </c>
      <c r="E215" s="58" t="inlineStr"/>
      <c r="F215" s="58" t="inlineStr"/>
      <c r="G215" s="58" t="inlineStr">
        <is>
          <t>DISPONIVEL</t>
        </is>
      </c>
      <c r="H215" s="58" t="inlineStr">
        <is>
          <t>USADO</t>
        </is>
      </c>
      <c r="I215" s="95" t="inlineStr">
        <is>
          <t>★★☆☆☆</t>
        </is>
      </c>
      <c r="J215" s="142" t="n">
        <v>640</v>
      </c>
      <c r="K215" s="143" t="n">
        <v>640</v>
      </c>
      <c r="L215" s="98">
        <f>IF(J215&gt;0,(J215-K215)/J215,"")</f>
        <v/>
      </c>
      <c r="M215" s="99" t="inlineStr"/>
    </row>
    <row r="216" ht="22" customHeight="1">
      <c r="A216" s="54" t="inlineStr">
        <is>
          <t>MMD-ILU-0034</t>
        </is>
      </c>
      <c r="B216" s="79" t="inlineStr">
        <is>
          <t>ST-10WBQ (SPOT LUZ)</t>
        </is>
      </c>
      <c r="C216" s="53" t="inlineStr">
        <is>
          <t>Showtech</t>
        </is>
      </c>
      <c r="D216" s="53" t="inlineStr">
        <is>
          <t>OUTDOOR</t>
        </is>
      </c>
      <c r="E216" s="53" t="inlineStr">
        <is>
          <t>69689</t>
        </is>
      </c>
      <c r="F216" s="53" t="inlineStr"/>
      <c r="G216" s="53" t="inlineStr">
        <is>
          <t>DISPONIVEL</t>
        </is>
      </c>
      <c r="H216" s="53" t="inlineStr">
        <is>
          <t>USADO</t>
        </is>
      </c>
      <c r="I216" s="95" t="inlineStr">
        <is>
          <t>★★☆☆☆</t>
        </is>
      </c>
      <c r="J216" s="141" t="n">
        <v>640</v>
      </c>
      <c r="K216" s="143" t="n">
        <v>129.99</v>
      </c>
      <c r="L216" s="101">
        <f>IF(J216&gt;0,(J216-K216)/J216,"")</f>
        <v/>
      </c>
      <c r="M216" s="102" t="inlineStr"/>
    </row>
    <row r="217" ht="22" customHeight="1">
      <c r="A217" s="94" t="inlineStr">
        <is>
          <t>MMD-ILU-0046</t>
        </is>
      </c>
      <c r="B217" s="75" t="inlineStr">
        <is>
          <t>MLG-119</t>
        </is>
      </c>
      <c r="C217" s="58" t="inlineStr">
        <is>
          <t>Tomate</t>
        </is>
      </c>
      <c r="D217" s="58" t="inlineStr">
        <is>
          <t>OUTDOOR</t>
        </is>
      </c>
      <c r="E217" s="58" t="inlineStr"/>
      <c r="F217" s="58" t="inlineStr"/>
      <c r="G217" s="58" t="inlineStr">
        <is>
          <t>DISPONIVEL</t>
        </is>
      </c>
      <c r="H217" s="58" t="inlineStr">
        <is>
          <t>USADO</t>
        </is>
      </c>
      <c r="I217" s="95" t="inlineStr">
        <is>
          <t>★★☆☆☆</t>
        </is>
      </c>
      <c r="J217" s="142" t="n">
        <v>192.14</v>
      </c>
      <c r="K217" s="143" t="n">
        <v>192.14</v>
      </c>
      <c r="L217" s="98">
        <f>IF(J217&gt;0,(J217-K217)/J217,"")</f>
        <v/>
      </c>
      <c r="M217" s="99" t="inlineStr"/>
    </row>
    <row r="218" ht="22" customHeight="1">
      <c r="A218" s="54" t="inlineStr">
        <is>
          <t>MMD-ILU-0047</t>
        </is>
      </c>
      <c r="B218" s="79" t="inlineStr">
        <is>
          <t>MLG-119</t>
        </is>
      </c>
      <c r="C218" s="53" t="inlineStr">
        <is>
          <t>Tomate</t>
        </is>
      </c>
      <c r="D218" s="53" t="inlineStr">
        <is>
          <t>OUTDOOR</t>
        </is>
      </c>
      <c r="E218" s="53" t="inlineStr"/>
      <c r="F218" s="53" t="inlineStr"/>
      <c r="G218" s="53" t="inlineStr">
        <is>
          <t>DISPONIVEL</t>
        </is>
      </c>
      <c r="H218" s="53" t="inlineStr">
        <is>
          <t>USADO</t>
        </is>
      </c>
      <c r="I218" s="95" t="inlineStr">
        <is>
          <t>★★☆☆☆</t>
        </is>
      </c>
      <c r="J218" s="141" t="n">
        <v>192.14</v>
      </c>
      <c r="K218" s="143" t="n">
        <v>192.14</v>
      </c>
      <c r="L218" s="101">
        <f>IF(J218&gt;0,(J218-K218)/J218,"")</f>
        <v/>
      </c>
      <c r="M218" s="102" t="inlineStr"/>
    </row>
    <row r="219" ht="22" customHeight="1">
      <c r="A219" s="94" t="inlineStr">
        <is>
          <t>MMD-ILU-0048</t>
        </is>
      </c>
      <c r="B219" s="75" t="inlineStr">
        <is>
          <t>MLG-119</t>
        </is>
      </c>
      <c r="C219" s="58" t="inlineStr">
        <is>
          <t>Tomate</t>
        </is>
      </c>
      <c r="D219" s="58" t="inlineStr">
        <is>
          <t>OUTDOOR</t>
        </is>
      </c>
      <c r="E219" s="58" t="inlineStr"/>
      <c r="F219" s="58" t="inlineStr"/>
      <c r="G219" s="58" t="inlineStr">
        <is>
          <t>DISPONIVEL</t>
        </is>
      </c>
      <c r="H219" s="58" t="inlineStr">
        <is>
          <t>USADO</t>
        </is>
      </c>
      <c r="I219" s="95" t="inlineStr">
        <is>
          <t>★★☆☆☆</t>
        </is>
      </c>
      <c r="J219" s="142" t="n">
        <v>192.14</v>
      </c>
      <c r="K219" s="143" t="n">
        <v>192.14</v>
      </c>
      <c r="L219" s="98">
        <f>IF(J219&gt;0,(J219-K219)/J219,"")</f>
        <v/>
      </c>
      <c r="M219" s="99" t="inlineStr"/>
    </row>
    <row r="220" ht="22" customHeight="1">
      <c r="A220" s="54" t="inlineStr">
        <is>
          <t>MMD-ILU-0049</t>
        </is>
      </c>
      <c r="B220" s="79" t="inlineStr">
        <is>
          <t>MLG-119 (SO A CAIXA - SEM A LUZ - QUEBRADA?)</t>
        </is>
      </c>
      <c r="C220" s="53" t="inlineStr">
        <is>
          <t>Tomate</t>
        </is>
      </c>
      <c r="D220" s="53" t="inlineStr">
        <is>
          <t>OUTDOOR</t>
        </is>
      </c>
      <c r="E220" s="53" t="inlineStr"/>
      <c r="F220" s="53" t="inlineStr"/>
      <c r="G220" s="53" t="inlineStr">
        <is>
          <t>DISPONIVEL</t>
        </is>
      </c>
      <c r="H220" s="53" t="inlineStr">
        <is>
          <t>USADO</t>
        </is>
      </c>
      <c r="I220" s="95" t="inlineStr">
        <is>
          <t>★★☆☆☆</t>
        </is>
      </c>
      <c r="J220" s="141" t="n">
        <v>192.14</v>
      </c>
      <c r="K220" s="143" t="n">
        <v>192.14</v>
      </c>
      <c r="L220" s="101">
        <f>IF(J220&gt;0,(J220-K220)/J220,"")</f>
        <v/>
      </c>
      <c r="M220" s="102" t="inlineStr"/>
    </row>
    <row r="221" ht="22" customHeight="1">
      <c r="A221" s="94" t="inlineStr">
        <is>
          <t>MMD-ILU-0051</t>
        </is>
      </c>
      <c r="B221" s="75" t="inlineStr">
        <is>
          <t>MLG-119</t>
        </is>
      </c>
      <c r="C221" s="58" t="inlineStr">
        <is>
          <t>Tomate</t>
        </is>
      </c>
      <c r="D221" s="58" t="inlineStr">
        <is>
          <t>OUTDOOR</t>
        </is>
      </c>
      <c r="E221" s="58" t="inlineStr"/>
      <c r="F221" s="58" t="inlineStr"/>
      <c r="G221" s="58" t="inlineStr">
        <is>
          <t>DISPONIVEL</t>
        </is>
      </c>
      <c r="H221" s="58" t="inlineStr">
        <is>
          <t>USADO</t>
        </is>
      </c>
      <c r="I221" s="95" t="inlineStr">
        <is>
          <t>★★☆☆☆</t>
        </is>
      </c>
      <c r="J221" s="142" t="n">
        <v>192.14</v>
      </c>
      <c r="K221" s="143" t="n">
        <v>192.14</v>
      </c>
      <c r="L221" s="98">
        <f>IF(J221&gt;0,(J221-K221)/J221,"")</f>
        <v/>
      </c>
      <c r="M221" s="99" t="inlineStr"/>
    </row>
    <row r="222" ht="22" customHeight="1">
      <c r="A222" s="54" t="inlineStr">
        <is>
          <t>MMD-ILU-0052</t>
        </is>
      </c>
      <c r="B222" s="79" t="inlineStr">
        <is>
          <t>MLG-119</t>
        </is>
      </c>
      <c r="C222" s="53" t="inlineStr">
        <is>
          <t>Tomate</t>
        </is>
      </c>
      <c r="D222" s="53" t="inlineStr">
        <is>
          <t>OUTDOOR</t>
        </is>
      </c>
      <c r="E222" s="53" t="inlineStr"/>
      <c r="F222" s="53" t="inlineStr"/>
      <c r="G222" s="53" t="inlineStr">
        <is>
          <t>DISPONIVEL</t>
        </is>
      </c>
      <c r="H222" s="53" t="inlineStr">
        <is>
          <t>USADO</t>
        </is>
      </c>
      <c r="I222" s="95" t="inlineStr">
        <is>
          <t>★★☆☆☆</t>
        </is>
      </c>
      <c r="J222" s="141" t="n">
        <v>192.14</v>
      </c>
      <c r="K222" s="143" t="n">
        <v>192.14</v>
      </c>
      <c r="L222" s="101">
        <f>IF(J222&gt;0,(J222-K222)/J222,"")</f>
        <v/>
      </c>
      <c r="M222" s="102" t="inlineStr"/>
    </row>
    <row r="223" ht="22" customHeight="1">
      <c r="A223" s="94" t="inlineStr">
        <is>
          <t>MMD-ILU-0053</t>
        </is>
      </c>
      <c r="B223" s="75" t="inlineStr">
        <is>
          <t>MLG-119</t>
        </is>
      </c>
      <c r="C223" s="58" t="inlineStr">
        <is>
          <t>Tomate</t>
        </is>
      </c>
      <c r="D223" s="58" t="inlineStr">
        <is>
          <t>OUTDOOR</t>
        </is>
      </c>
      <c r="E223" s="58" t="inlineStr"/>
      <c r="F223" s="58" t="inlineStr"/>
      <c r="G223" s="58" t="inlineStr">
        <is>
          <t>DISPONIVEL</t>
        </is>
      </c>
      <c r="H223" s="58" t="inlineStr">
        <is>
          <t>USADO</t>
        </is>
      </c>
      <c r="I223" s="95" t="inlineStr">
        <is>
          <t>★★☆☆☆</t>
        </is>
      </c>
      <c r="J223" s="142" t="n">
        <v>192.14</v>
      </c>
      <c r="K223" s="143" t="n">
        <v>192.14</v>
      </c>
      <c r="L223" s="98">
        <f>IF(J223&gt;0,(J223-K223)/J223,"")</f>
        <v/>
      </c>
      <c r="M223" s="99" t="inlineStr"/>
    </row>
    <row r="224" ht="22" customHeight="1">
      <c r="A224" s="54" t="inlineStr">
        <is>
          <t>MMD-ILU-0054</t>
        </is>
      </c>
      <c r="B224" s="79" t="inlineStr">
        <is>
          <t>MLG-119</t>
        </is>
      </c>
      <c r="C224" s="53" t="inlineStr">
        <is>
          <t>Tomate</t>
        </is>
      </c>
      <c r="D224" s="53" t="inlineStr">
        <is>
          <t>OUTDOOR</t>
        </is>
      </c>
      <c r="E224" s="53" t="inlineStr"/>
      <c r="F224" s="53" t="inlineStr"/>
      <c r="G224" s="53" t="inlineStr">
        <is>
          <t>DISPONIVEL</t>
        </is>
      </c>
      <c r="H224" s="53" t="inlineStr">
        <is>
          <t>USADO</t>
        </is>
      </c>
      <c r="I224" s="95" t="inlineStr">
        <is>
          <t>★★☆☆☆</t>
        </is>
      </c>
      <c r="J224" s="141" t="n">
        <v>192.14</v>
      </c>
      <c r="K224" s="143" t="n">
        <v>192.14</v>
      </c>
      <c r="L224" s="101">
        <f>IF(J224&gt;0,(J224-K224)/J224,"")</f>
        <v/>
      </c>
      <c r="M224" s="102" t="inlineStr"/>
    </row>
    <row r="225" ht="22" customHeight="1">
      <c r="A225" s="94" t="inlineStr">
        <is>
          <t>MMD-ILU-0055</t>
        </is>
      </c>
      <c r="B225" s="75" t="inlineStr">
        <is>
          <t>MLG-119</t>
        </is>
      </c>
      <c r="C225" s="58" t="inlineStr">
        <is>
          <t>Tomate</t>
        </is>
      </c>
      <c r="D225" s="58" t="inlineStr">
        <is>
          <t>OUTDOOR</t>
        </is>
      </c>
      <c r="E225" s="58" t="inlineStr"/>
      <c r="F225" s="58" t="inlineStr"/>
      <c r="G225" s="58" t="inlineStr">
        <is>
          <t>DISPONIVEL</t>
        </is>
      </c>
      <c r="H225" s="58" t="inlineStr">
        <is>
          <t>USADO</t>
        </is>
      </c>
      <c r="I225" s="95" t="inlineStr">
        <is>
          <t>★★☆☆☆</t>
        </is>
      </c>
      <c r="J225" s="142" t="n">
        <v>192.14</v>
      </c>
      <c r="K225" s="143" t="n">
        <v>192.14</v>
      </c>
      <c r="L225" s="98">
        <f>IF(J225&gt;0,(J225-K225)/J225,"")</f>
        <v/>
      </c>
      <c r="M225" s="99" t="inlineStr"/>
    </row>
    <row r="226" ht="22" customHeight="1">
      <c r="A226" s="54" t="inlineStr">
        <is>
          <t>MMD-ILU-0056</t>
        </is>
      </c>
      <c r="B226" s="79" t="inlineStr">
        <is>
          <t>MLG-119</t>
        </is>
      </c>
      <c r="C226" s="53" t="inlineStr">
        <is>
          <t>Tomate</t>
        </is>
      </c>
      <c r="D226" s="53" t="inlineStr">
        <is>
          <t>OUTDOOR</t>
        </is>
      </c>
      <c r="E226" s="53" t="inlineStr"/>
      <c r="F226" s="53" t="inlineStr"/>
      <c r="G226" s="53" t="inlineStr">
        <is>
          <t>DISPONIVEL</t>
        </is>
      </c>
      <c r="H226" s="53" t="inlineStr">
        <is>
          <t>USADO</t>
        </is>
      </c>
      <c r="I226" s="95" t="inlineStr">
        <is>
          <t>★★☆☆☆</t>
        </is>
      </c>
      <c r="J226" s="141" t="n">
        <v>192.14</v>
      </c>
      <c r="K226" s="143" t="n">
        <v>192.14</v>
      </c>
      <c r="L226" s="101">
        <f>IF(J226&gt;0,(J226-K226)/J226,"")</f>
        <v/>
      </c>
      <c r="M226" s="102" t="inlineStr"/>
    </row>
    <row r="227" ht="22" customHeight="1">
      <c r="A227" s="94" t="inlineStr">
        <is>
          <t>MMD-ILU-0067</t>
        </is>
      </c>
      <c r="B227" s="75" t="inlineStr">
        <is>
          <t>ST-OP1806CS</t>
        </is>
      </c>
      <c r="C227" s="58" t="inlineStr">
        <is>
          <t>Showtech</t>
        </is>
      </c>
      <c r="D227" s="58" t="inlineStr">
        <is>
          <t>OUTDOOR</t>
        </is>
      </c>
      <c r="E227" s="58" t="inlineStr"/>
      <c r="F227" s="58" t="inlineStr"/>
      <c r="G227" s="58" t="inlineStr">
        <is>
          <t>DISPONIVEL</t>
        </is>
      </c>
      <c r="H227" s="58" t="inlineStr">
        <is>
          <t>USADO</t>
        </is>
      </c>
      <c r="I227" s="95" t="inlineStr">
        <is>
          <t>★★☆☆☆</t>
        </is>
      </c>
      <c r="J227" s="142" t="n">
        <v>640</v>
      </c>
      <c r="K227" s="143" t="n">
        <v>640</v>
      </c>
      <c r="L227" s="98">
        <f>IF(J227&gt;0,(J227-K227)/J227,"")</f>
        <v/>
      </c>
      <c r="M227" s="99" t="inlineStr"/>
    </row>
    <row r="228" ht="22" customHeight="1">
      <c r="A228" s="54" t="inlineStr">
        <is>
          <t>MMD-ILU-0068</t>
        </is>
      </c>
      <c r="B228" s="79" t="inlineStr">
        <is>
          <t>ST-OP1806CS</t>
        </is>
      </c>
      <c r="C228" s="53" t="inlineStr">
        <is>
          <t>Showtech</t>
        </is>
      </c>
      <c r="D228" s="53" t="inlineStr">
        <is>
          <t>OUTDOOR</t>
        </is>
      </c>
      <c r="E228" s="53" t="inlineStr"/>
      <c r="F228" s="53" t="inlineStr"/>
      <c r="G228" s="53" t="inlineStr">
        <is>
          <t>DISPONIVEL</t>
        </is>
      </c>
      <c r="H228" s="53" t="inlineStr">
        <is>
          <t>USADO</t>
        </is>
      </c>
      <c r="I228" s="95" t="inlineStr">
        <is>
          <t>★★☆☆☆</t>
        </is>
      </c>
      <c r="J228" s="141" t="n">
        <v>640</v>
      </c>
      <c r="K228" s="143" t="n">
        <v>640</v>
      </c>
      <c r="L228" s="101">
        <f>IF(J228&gt;0,(J228-K228)/J228,"")</f>
        <v/>
      </c>
      <c r="M228" s="102" t="inlineStr"/>
    </row>
    <row r="229" ht="22" customHeight="1">
      <c r="A229" s="94" t="inlineStr">
        <is>
          <t>MMD-ILU-0069</t>
        </is>
      </c>
      <c r="B229" s="75" t="inlineStr">
        <is>
          <t>ST-OP1806CS</t>
        </is>
      </c>
      <c r="C229" s="58" t="inlineStr">
        <is>
          <t>Showtech</t>
        </is>
      </c>
      <c r="D229" s="58" t="inlineStr">
        <is>
          <t>OUTDOOR</t>
        </is>
      </c>
      <c r="E229" s="58" t="inlineStr"/>
      <c r="F229" s="58" t="inlineStr"/>
      <c r="G229" s="58" t="inlineStr">
        <is>
          <t>DISPONIVEL</t>
        </is>
      </c>
      <c r="H229" s="58" t="inlineStr">
        <is>
          <t>USADO</t>
        </is>
      </c>
      <c r="I229" s="95" t="inlineStr">
        <is>
          <t>★★☆☆☆</t>
        </is>
      </c>
      <c r="J229" s="142" t="n">
        <v>640</v>
      </c>
      <c r="K229" s="143" t="n">
        <v>640</v>
      </c>
      <c r="L229" s="98">
        <f>IF(J229&gt;0,(J229-K229)/J229,"")</f>
        <v/>
      </c>
      <c r="M229" s="99" t="inlineStr"/>
    </row>
    <row r="230" ht="22" customHeight="1">
      <c r="A230" s="54" t="inlineStr">
        <is>
          <t>MMD-ILU-0070</t>
        </is>
      </c>
      <c r="B230" s="79" t="inlineStr">
        <is>
          <t>ST-OP1806CS</t>
        </is>
      </c>
      <c r="C230" s="53" t="inlineStr">
        <is>
          <t>Showtech</t>
        </is>
      </c>
      <c r="D230" s="53" t="inlineStr">
        <is>
          <t>OUTDOOR</t>
        </is>
      </c>
      <c r="E230" s="53" t="inlineStr"/>
      <c r="F230" s="53" t="inlineStr"/>
      <c r="G230" s="53" t="inlineStr">
        <is>
          <t>DISPONIVEL</t>
        </is>
      </c>
      <c r="H230" s="53" t="inlineStr">
        <is>
          <t>USADO</t>
        </is>
      </c>
      <c r="I230" s="95" t="inlineStr">
        <is>
          <t>★★☆☆☆</t>
        </is>
      </c>
      <c r="J230" s="141" t="n">
        <v>640</v>
      </c>
      <c r="K230" s="143" t="n">
        <v>640</v>
      </c>
      <c r="L230" s="101">
        <f>IF(J230&gt;0,(J230-K230)/J230,"")</f>
        <v/>
      </c>
      <c r="M230" s="102" t="inlineStr"/>
    </row>
    <row r="231" ht="22" customHeight="1">
      <c r="A231" s="94" t="inlineStr">
        <is>
          <t>MMD-ILU-0071</t>
        </is>
      </c>
      <c r="B231" s="75" t="inlineStr">
        <is>
          <t>ST-OP1806CS</t>
        </is>
      </c>
      <c r="C231" s="58" t="inlineStr">
        <is>
          <t>Showtech</t>
        </is>
      </c>
      <c r="D231" s="58" t="inlineStr">
        <is>
          <t>OUTDOOR</t>
        </is>
      </c>
      <c r="E231" s="58" t="inlineStr"/>
      <c r="F231" s="58" t="inlineStr"/>
      <c r="G231" s="58" t="inlineStr">
        <is>
          <t>DISPONIVEL</t>
        </is>
      </c>
      <c r="H231" s="58" t="inlineStr">
        <is>
          <t>USADO</t>
        </is>
      </c>
      <c r="I231" s="95" t="inlineStr">
        <is>
          <t>★★☆☆☆</t>
        </is>
      </c>
      <c r="J231" s="142" t="n">
        <v>640</v>
      </c>
      <c r="K231" s="143" t="n">
        <v>640</v>
      </c>
      <c r="L231" s="98">
        <f>IF(J231&gt;0,(J231-K231)/J231,"")</f>
        <v/>
      </c>
      <c r="M231" s="99" t="inlineStr"/>
    </row>
    <row r="232" ht="22" customHeight="1">
      <c r="A232" s="54" t="inlineStr">
        <is>
          <t>MMD-ILU-0072</t>
        </is>
      </c>
      <c r="B232" s="79" t="inlineStr">
        <is>
          <t>ST-OP1806CS</t>
        </is>
      </c>
      <c r="C232" s="53" t="inlineStr">
        <is>
          <t>Showtech</t>
        </is>
      </c>
      <c r="D232" s="53" t="inlineStr">
        <is>
          <t>OUTDOOR</t>
        </is>
      </c>
      <c r="E232" s="53" t="inlineStr"/>
      <c r="F232" s="53" t="inlineStr"/>
      <c r="G232" s="53" t="inlineStr">
        <is>
          <t>DISPONIVEL</t>
        </is>
      </c>
      <c r="H232" s="53" t="inlineStr">
        <is>
          <t>USADO</t>
        </is>
      </c>
      <c r="I232" s="95" t="inlineStr">
        <is>
          <t>★★☆☆☆</t>
        </is>
      </c>
      <c r="J232" s="141" t="n">
        <v>640</v>
      </c>
      <c r="K232" s="143" t="n">
        <v>640</v>
      </c>
      <c r="L232" s="101">
        <f>IF(J232&gt;0,(J232-K232)/J232,"")</f>
        <v/>
      </c>
      <c r="M232" s="102" t="inlineStr"/>
    </row>
    <row r="233" ht="22" customHeight="1">
      <c r="A233" s="94" t="inlineStr">
        <is>
          <t>MMD-ILU-0073</t>
        </is>
      </c>
      <c r="B233" s="75" t="inlineStr">
        <is>
          <t>ST-OP1806CS</t>
        </is>
      </c>
      <c r="C233" s="58" t="inlineStr">
        <is>
          <t>Showtech</t>
        </is>
      </c>
      <c r="D233" s="58" t="inlineStr">
        <is>
          <t>OUTDOOR</t>
        </is>
      </c>
      <c r="E233" s="58" t="inlineStr"/>
      <c r="F233" s="58" t="inlineStr"/>
      <c r="G233" s="58" t="inlineStr">
        <is>
          <t>DISPONIVEL</t>
        </is>
      </c>
      <c r="H233" s="58" t="inlineStr">
        <is>
          <t>USADO</t>
        </is>
      </c>
      <c r="I233" s="95" t="inlineStr">
        <is>
          <t>★★☆☆☆</t>
        </is>
      </c>
      <c r="J233" s="142" t="n">
        <v>640</v>
      </c>
      <c r="K233" s="143" t="n">
        <v>640</v>
      </c>
      <c r="L233" s="98">
        <f>IF(J233&gt;0,(J233-K233)/J233,"")</f>
        <v/>
      </c>
      <c r="M233" s="99" t="inlineStr"/>
    </row>
    <row r="234" ht="22" customHeight="1">
      <c r="A234" s="54" t="inlineStr">
        <is>
          <t>MMD-ILU-0074</t>
        </is>
      </c>
      <c r="B234" s="79" t="inlineStr">
        <is>
          <t>ST-OP1806CS</t>
        </is>
      </c>
      <c r="C234" s="53" t="inlineStr">
        <is>
          <t>Showtech</t>
        </is>
      </c>
      <c r="D234" s="53" t="inlineStr">
        <is>
          <t>OUTDOOR</t>
        </is>
      </c>
      <c r="E234" s="53" t="inlineStr"/>
      <c r="F234" s="53" t="inlineStr"/>
      <c r="G234" s="53" t="inlineStr">
        <is>
          <t>DISPONIVEL</t>
        </is>
      </c>
      <c r="H234" s="53" t="inlineStr">
        <is>
          <t>USADO</t>
        </is>
      </c>
      <c r="I234" s="95" t="inlineStr">
        <is>
          <t>★★☆☆☆</t>
        </is>
      </c>
      <c r="J234" s="141" t="n">
        <v>640</v>
      </c>
      <c r="K234" s="143" t="n">
        <v>640</v>
      </c>
      <c r="L234" s="101">
        <f>IF(J234&gt;0,(J234-K234)/J234,"")</f>
        <v/>
      </c>
      <c r="M234" s="102" t="inlineStr"/>
    </row>
    <row r="235" ht="22" customHeight="1">
      <c r="A235" s="94" t="inlineStr">
        <is>
          <t>MMD-ILU-0075</t>
        </is>
      </c>
      <c r="B235" s="75" t="inlineStr">
        <is>
          <t>ST-OP1806CS</t>
        </is>
      </c>
      <c r="C235" s="58" t="inlineStr">
        <is>
          <t>Showtech</t>
        </is>
      </c>
      <c r="D235" s="58" t="inlineStr">
        <is>
          <t>OUTDOOR</t>
        </is>
      </c>
      <c r="E235" s="58" t="inlineStr"/>
      <c r="F235" s="58" t="inlineStr"/>
      <c r="G235" s="58" t="inlineStr">
        <is>
          <t>DISPONIVEL</t>
        </is>
      </c>
      <c r="H235" s="58" t="inlineStr">
        <is>
          <t>USADO</t>
        </is>
      </c>
      <c r="I235" s="95" t="inlineStr">
        <is>
          <t>★★☆☆☆</t>
        </is>
      </c>
      <c r="J235" s="142" t="n">
        <v>640</v>
      </c>
      <c r="K235" s="143" t="n">
        <v>640</v>
      </c>
      <c r="L235" s="98">
        <f>IF(J235&gt;0,(J235-K235)/J235,"")</f>
        <v/>
      </c>
      <c r="M235" s="99" t="inlineStr"/>
    </row>
    <row r="236" ht="22" customHeight="1">
      <c r="A236" s="54" t="inlineStr">
        <is>
          <t>MMD-ILU-0076</t>
        </is>
      </c>
      <c r="B236" s="79" t="inlineStr">
        <is>
          <t>ST-OP1806CS</t>
        </is>
      </c>
      <c r="C236" s="53" t="inlineStr">
        <is>
          <t>Showtech</t>
        </is>
      </c>
      <c r="D236" s="53" t="inlineStr">
        <is>
          <t>OUTDOOR</t>
        </is>
      </c>
      <c r="E236" s="53" t="inlineStr"/>
      <c r="F236" s="53" t="inlineStr"/>
      <c r="G236" s="53" t="inlineStr">
        <is>
          <t>DISPONIVEL</t>
        </is>
      </c>
      <c r="H236" s="53" t="inlineStr">
        <is>
          <t>USADO</t>
        </is>
      </c>
      <c r="I236" s="95" t="inlineStr">
        <is>
          <t>★★☆☆☆</t>
        </is>
      </c>
      <c r="J236" s="141" t="n">
        <v>640</v>
      </c>
      <c r="K236" s="143" t="n">
        <v>640</v>
      </c>
      <c r="L236" s="101">
        <f>IF(J236&gt;0,(J236-K236)/J236,"")</f>
        <v/>
      </c>
      <c r="M236" s="102" t="inlineStr"/>
    </row>
    <row r="237" ht="22" customHeight="1">
      <c r="A237" s="94" t="inlineStr">
        <is>
          <t>MMD-ILU-0081</t>
        </is>
      </c>
      <c r="B237" s="75" t="inlineStr">
        <is>
          <t>F664 (LUZ QUENTE)</t>
        </is>
      </c>
      <c r="C237" s="58" t="inlineStr">
        <is>
          <t>SOG</t>
        </is>
      </c>
      <c r="D237" s="58" t="inlineStr">
        <is>
          <t>OUTDOOR</t>
        </is>
      </c>
      <c r="E237" s="58" t="inlineStr"/>
      <c r="F237" s="58" t="inlineStr"/>
      <c r="G237" s="58" t="inlineStr">
        <is>
          <t>DISPONIVEL</t>
        </is>
      </c>
      <c r="H237" s="58" t="inlineStr">
        <is>
          <t>USADO</t>
        </is>
      </c>
      <c r="I237" s="95" t="inlineStr">
        <is>
          <t>★★☆☆☆</t>
        </is>
      </c>
      <c r="J237" s="142" t="n">
        <v>640</v>
      </c>
      <c r="K237" s="143" t="n">
        <v>640</v>
      </c>
      <c r="L237" s="98">
        <f>IF(J237&gt;0,(J237-K237)/J237,"")</f>
        <v/>
      </c>
      <c r="M237" s="99" t="inlineStr"/>
    </row>
    <row r="238" ht="22" customHeight="1">
      <c r="A238" s="54" t="inlineStr">
        <is>
          <t>MMD-ILU-0084</t>
        </is>
      </c>
      <c r="B238" s="79" t="inlineStr">
        <is>
          <t>ST-32T</t>
        </is>
      </c>
      <c r="C238" s="53" t="inlineStr">
        <is>
          <t>Showtech</t>
        </is>
      </c>
      <c r="D238" s="53" t="inlineStr">
        <is>
          <t>OUTDOOR</t>
        </is>
      </c>
      <c r="E238" s="53" t="inlineStr"/>
      <c r="F238" s="53" t="inlineStr"/>
      <c r="G238" s="53" t="inlineStr">
        <is>
          <t>DISPONIVEL</t>
        </is>
      </c>
      <c r="H238" s="53" t="inlineStr">
        <is>
          <t>USADO</t>
        </is>
      </c>
      <c r="I238" s="95" t="inlineStr">
        <is>
          <t>★★☆☆☆</t>
        </is>
      </c>
      <c r="J238" s="141" t="n">
        <v>664.99</v>
      </c>
      <c r="K238" s="143" t="n">
        <v>664.99</v>
      </c>
      <c r="L238" s="101">
        <f>IF(J238&gt;0,(J238-K238)/J238,"")</f>
        <v/>
      </c>
      <c r="M238" s="102" t="inlineStr"/>
    </row>
    <row r="239" ht="22" customHeight="1">
      <c r="A239" s="94" t="inlineStr">
        <is>
          <t>MMD-ILU-0085</t>
        </is>
      </c>
      <c r="B239" s="75" t="inlineStr">
        <is>
          <t>ST-32T</t>
        </is>
      </c>
      <c r="C239" s="58" t="inlineStr">
        <is>
          <t>Showtech</t>
        </is>
      </c>
      <c r="D239" s="58" t="inlineStr">
        <is>
          <t>OUTDOOR</t>
        </is>
      </c>
      <c r="E239" s="58" t="inlineStr"/>
      <c r="F239" s="58" t="inlineStr"/>
      <c r="G239" s="58" t="inlineStr">
        <is>
          <t>DISPONIVEL</t>
        </is>
      </c>
      <c r="H239" s="58" t="inlineStr">
        <is>
          <t>USADO</t>
        </is>
      </c>
      <c r="I239" s="95" t="inlineStr">
        <is>
          <t>★★☆☆☆</t>
        </is>
      </c>
      <c r="J239" s="142" t="n">
        <v>664.99</v>
      </c>
      <c r="K239" s="143" t="n">
        <v>664.99</v>
      </c>
      <c r="L239" s="98">
        <f>IF(J239&gt;0,(J239-K239)/J239,"")</f>
        <v/>
      </c>
      <c r="M239" s="99" t="inlineStr"/>
    </row>
    <row r="240" ht="22" customHeight="1">
      <c r="A240" s="54" t="inlineStr">
        <is>
          <t>MMD-ILU-0086</t>
        </is>
      </c>
      <c r="B240" s="79" t="inlineStr">
        <is>
          <t>ST-32T</t>
        </is>
      </c>
      <c r="C240" s="53" t="inlineStr">
        <is>
          <t>Showtech</t>
        </is>
      </c>
      <c r="D240" s="53" t="inlineStr">
        <is>
          <t>OUTDOOR</t>
        </is>
      </c>
      <c r="E240" s="53" t="inlineStr"/>
      <c r="F240" s="53" t="inlineStr"/>
      <c r="G240" s="53" t="inlineStr">
        <is>
          <t>DISPONIVEL</t>
        </is>
      </c>
      <c r="H240" s="53" t="inlineStr">
        <is>
          <t>USADO</t>
        </is>
      </c>
      <c r="I240" s="95" t="inlineStr">
        <is>
          <t>★★☆☆☆</t>
        </is>
      </c>
      <c r="J240" s="141" t="n">
        <v>664.99</v>
      </c>
      <c r="K240" s="143" t="n">
        <v>664.99</v>
      </c>
      <c r="L240" s="101">
        <f>IF(J240&gt;0,(J240-K240)/J240,"")</f>
        <v/>
      </c>
      <c r="M240" s="102" t="inlineStr"/>
    </row>
    <row r="241" ht="22" customHeight="1">
      <c r="A241" s="94" t="inlineStr">
        <is>
          <t>MMD-ILU-0087</t>
        </is>
      </c>
      <c r="B241" s="75" t="inlineStr">
        <is>
          <t>ST-32T</t>
        </is>
      </c>
      <c r="C241" s="58" t="inlineStr">
        <is>
          <t>Showtech</t>
        </is>
      </c>
      <c r="D241" s="58" t="inlineStr">
        <is>
          <t>OUTDOOR</t>
        </is>
      </c>
      <c r="E241" s="58" t="inlineStr"/>
      <c r="F241" s="58" t="inlineStr"/>
      <c r="G241" s="58" t="inlineStr">
        <is>
          <t>DISPONIVEL</t>
        </is>
      </c>
      <c r="H241" s="58" t="inlineStr">
        <is>
          <t>USADO</t>
        </is>
      </c>
      <c r="I241" s="95" t="inlineStr">
        <is>
          <t>★★☆☆☆</t>
        </is>
      </c>
      <c r="J241" s="142" t="n">
        <v>664.99</v>
      </c>
      <c r="K241" s="143" t="n">
        <v>664.99</v>
      </c>
      <c r="L241" s="98">
        <f>IF(J241&gt;0,(J241-K241)/J241,"")</f>
        <v/>
      </c>
      <c r="M241" s="99" t="inlineStr"/>
    </row>
    <row r="242" ht="22" customHeight="1">
      <c r="A242" s="54" t="inlineStr">
        <is>
          <t>MMD-ILU-0088</t>
        </is>
      </c>
      <c r="B242" s="79" t="inlineStr">
        <is>
          <t>ST-32T</t>
        </is>
      </c>
      <c r="C242" s="53" t="inlineStr">
        <is>
          <t>Showtech</t>
        </is>
      </c>
      <c r="D242" s="53" t="inlineStr">
        <is>
          <t>OUTDOOR</t>
        </is>
      </c>
      <c r="E242" s="53" t="inlineStr"/>
      <c r="F242" s="53" t="inlineStr"/>
      <c r="G242" s="53" t="inlineStr">
        <is>
          <t>DISPONIVEL</t>
        </is>
      </c>
      <c r="H242" s="53" t="inlineStr">
        <is>
          <t>USADO</t>
        </is>
      </c>
      <c r="I242" s="95" t="inlineStr">
        <is>
          <t>★★☆☆☆</t>
        </is>
      </c>
      <c r="J242" s="141" t="n">
        <v>664.99</v>
      </c>
      <c r="K242" s="143" t="n">
        <v>664.99</v>
      </c>
      <c r="L242" s="101">
        <f>IF(J242&gt;0,(J242-K242)/J242,"")</f>
        <v/>
      </c>
      <c r="M242" s="102" t="inlineStr"/>
    </row>
    <row r="243" ht="22" customHeight="1">
      <c r="A243" s="94" t="inlineStr">
        <is>
          <t>MMD-ILU-0089</t>
        </is>
      </c>
      <c r="B243" s="75" t="inlineStr">
        <is>
          <t>ST-32T</t>
        </is>
      </c>
      <c r="C243" s="58" t="inlineStr">
        <is>
          <t>Showtech</t>
        </is>
      </c>
      <c r="D243" s="58" t="inlineStr">
        <is>
          <t>OUTDOOR</t>
        </is>
      </c>
      <c r="E243" s="58" t="inlineStr"/>
      <c r="F243" s="58" t="inlineStr"/>
      <c r="G243" s="58" t="inlineStr">
        <is>
          <t>DISPONIVEL</t>
        </is>
      </c>
      <c r="H243" s="58" t="inlineStr">
        <is>
          <t>USADO</t>
        </is>
      </c>
      <c r="I243" s="95" t="inlineStr">
        <is>
          <t>★★☆☆☆</t>
        </is>
      </c>
      <c r="J243" s="142" t="n">
        <v>664.99</v>
      </c>
      <c r="K243" s="143" t="n">
        <v>664.99</v>
      </c>
      <c r="L243" s="98">
        <f>IF(J243&gt;0,(J243-K243)/J243,"")</f>
        <v/>
      </c>
      <c r="M243" s="99" t="inlineStr"/>
    </row>
    <row r="244" ht="22" customHeight="1">
      <c r="A244" s="54" t="inlineStr">
        <is>
          <t>MMD-ILU-0090</t>
        </is>
      </c>
      <c r="B244" s="79" t="inlineStr">
        <is>
          <t>ST-32T</t>
        </is>
      </c>
      <c r="C244" s="53" t="inlineStr">
        <is>
          <t>Showtech</t>
        </is>
      </c>
      <c r="D244" s="53" t="inlineStr">
        <is>
          <t>OUTDOOR</t>
        </is>
      </c>
      <c r="E244" s="53" t="inlineStr"/>
      <c r="F244" s="53" t="inlineStr"/>
      <c r="G244" s="53" t="inlineStr">
        <is>
          <t>DISPONIVEL</t>
        </is>
      </c>
      <c r="H244" s="53" t="inlineStr">
        <is>
          <t>USADO</t>
        </is>
      </c>
      <c r="I244" s="95" t="inlineStr">
        <is>
          <t>★★☆☆☆</t>
        </is>
      </c>
      <c r="J244" s="141" t="n">
        <v>664.99</v>
      </c>
      <c r="K244" s="143" t="n">
        <v>664.99</v>
      </c>
      <c r="L244" s="101">
        <f>IF(J244&gt;0,(J244-K244)/J244,"")</f>
        <v/>
      </c>
      <c r="M244" s="102" t="inlineStr"/>
    </row>
    <row r="245" ht="22" customHeight="1">
      <c r="A245" s="94" t="inlineStr">
        <is>
          <t>MMD-ILU-0091</t>
        </is>
      </c>
      <c r="B245" s="75" t="inlineStr">
        <is>
          <t>ST-32T</t>
        </is>
      </c>
      <c r="C245" s="58" t="inlineStr">
        <is>
          <t>Showtech</t>
        </is>
      </c>
      <c r="D245" s="58" t="inlineStr">
        <is>
          <t>OUTDOOR</t>
        </is>
      </c>
      <c r="E245" s="58" t="inlineStr"/>
      <c r="F245" s="58" t="inlineStr"/>
      <c r="G245" s="58" t="inlineStr">
        <is>
          <t>DISPONIVEL</t>
        </is>
      </c>
      <c r="H245" s="58" t="inlineStr">
        <is>
          <t>USADO</t>
        </is>
      </c>
      <c r="I245" s="95" t="inlineStr">
        <is>
          <t>★★☆☆☆</t>
        </is>
      </c>
      <c r="J245" s="142" t="n">
        <v>664.99</v>
      </c>
      <c r="K245" s="143" t="n">
        <v>664.99</v>
      </c>
      <c r="L245" s="98">
        <f>IF(J245&gt;0,(J245-K245)/J245,"")</f>
        <v/>
      </c>
      <c r="M245" s="99" t="inlineStr"/>
    </row>
    <row r="246" ht="22" customHeight="1">
      <c r="A246" s="54" t="inlineStr">
        <is>
          <t>MMD-ILU-0092</t>
        </is>
      </c>
      <c r="B246" s="79" t="inlineStr">
        <is>
          <t>ST-32T</t>
        </is>
      </c>
      <c r="C246" s="53" t="inlineStr">
        <is>
          <t>Showtech</t>
        </is>
      </c>
      <c r="D246" s="53" t="inlineStr">
        <is>
          <t>OUTDOOR</t>
        </is>
      </c>
      <c r="E246" s="53" t="inlineStr"/>
      <c r="F246" s="53" t="inlineStr"/>
      <c r="G246" s="53" t="inlineStr">
        <is>
          <t>DISPONIVEL</t>
        </is>
      </c>
      <c r="H246" s="53" t="inlineStr">
        <is>
          <t>USADO</t>
        </is>
      </c>
      <c r="I246" s="95" t="inlineStr">
        <is>
          <t>★★☆☆☆</t>
        </is>
      </c>
      <c r="J246" s="141" t="n">
        <v>664.99</v>
      </c>
      <c r="K246" s="143" t="n">
        <v>664.99</v>
      </c>
      <c r="L246" s="101">
        <f>IF(J246&gt;0,(J246-K246)/J246,"")</f>
        <v/>
      </c>
      <c r="M246" s="102" t="inlineStr"/>
    </row>
    <row r="247" ht="22" customHeight="1">
      <c r="A247" s="94" t="inlineStr">
        <is>
          <t>MMD-ILU-0093</t>
        </is>
      </c>
      <c r="B247" s="75" t="inlineStr">
        <is>
          <t>ST-32T</t>
        </is>
      </c>
      <c r="C247" s="58" t="inlineStr">
        <is>
          <t>Showtech</t>
        </is>
      </c>
      <c r="D247" s="58" t="inlineStr">
        <is>
          <t>OUTDOOR</t>
        </is>
      </c>
      <c r="E247" s="58" t="inlineStr"/>
      <c r="F247" s="58" t="inlineStr"/>
      <c r="G247" s="58" t="inlineStr">
        <is>
          <t>DISPONIVEL</t>
        </is>
      </c>
      <c r="H247" s="58" t="inlineStr">
        <is>
          <t>USADO</t>
        </is>
      </c>
      <c r="I247" s="95" t="inlineStr">
        <is>
          <t>★★☆☆☆</t>
        </is>
      </c>
      <c r="J247" s="142" t="n">
        <v>664.99</v>
      </c>
      <c r="K247" s="143" t="n">
        <v>664.99</v>
      </c>
      <c r="L247" s="98">
        <f>IF(J247&gt;0,(J247-K247)/J247,"")</f>
        <v/>
      </c>
      <c r="M247" s="99" t="inlineStr"/>
    </row>
    <row r="248" ht="22" customHeight="1">
      <c r="A248" s="54" t="inlineStr">
        <is>
          <t>MMD-ILU-0094</t>
        </is>
      </c>
      <c r="B248" s="79" t="inlineStr">
        <is>
          <t>ST-32T</t>
        </is>
      </c>
      <c r="C248" s="53" t="inlineStr">
        <is>
          <t>Showtech</t>
        </is>
      </c>
      <c r="D248" s="53" t="inlineStr">
        <is>
          <t>OUTDOOR</t>
        </is>
      </c>
      <c r="E248" s="53" t="inlineStr"/>
      <c r="F248" s="53" t="inlineStr"/>
      <c r="G248" s="53" t="inlineStr">
        <is>
          <t>DISPONIVEL</t>
        </is>
      </c>
      <c r="H248" s="53" t="inlineStr">
        <is>
          <t>USADO</t>
        </is>
      </c>
      <c r="I248" s="95" t="inlineStr">
        <is>
          <t>★★☆☆☆</t>
        </is>
      </c>
      <c r="J248" s="141" t="n">
        <v>664.99</v>
      </c>
      <c r="K248" s="143" t="n">
        <v>664.99</v>
      </c>
      <c r="L248" s="101">
        <f>IF(J248&gt;0,(J248-K248)/J248,"")</f>
        <v/>
      </c>
      <c r="M248" s="102" t="inlineStr"/>
    </row>
    <row r="249" ht="22" customHeight="1">
      <c r="A249" s="94" t="inlineStr">
        <is>
          <t>MMD-ILU-0095</t>
        </is>
      </c>
      <c r="B249" s="75" t="inlineStr">
        <is>
          <t>ST-32T</t>
        </is>
      </c>
      <c r="C249" s="58" t="inlineStr">
        <is>
          <t>Showtech</t>
        </is>
      </c>
      <c r="D249" s="58" t="inlineStr">
        <is>
          <t>OUTDOOR</t>
        </is>
      </c>
      <c r="E249" s="58" t="inlineStr"/>
      <c r="F249" s="58" t="inlineStr"/>
      <c r="G249" s="58" t="inlineStr">
        <is>
          <t>DISPONIVEL</t>
        </is>
      </c>
      <c r="H249" s="58" t="inlineStr">
        <is>
          <t>USADO</t>
        </is>
      </c>
      <c r="I249" s="95" t="inlineStr">
        <is>
          <t>★★☆☆☆</t>
        </is>
      </c>
      <c r="J249" s="142" t="n">
        <v>664.99</v>
      </c>
      <c r="K249" s="143" t="n">
        <v>664.99</v>
      </c>
      <c r="L249" s="98">
        <f>IF(J249&gt;0,(J249-K249)/J249,"")</f>
        <v/>
      </c>
      <c r="M249" s="99" t="inlineStr"/>
    </row>
    <row r="250" ht="22" customHeight="1">
      <c r="A250" s="54" t="inlineStr">
        <is>
          <t>MMD-ILU-0096</t>
        </is>
      </c>
      <c r="B250" s="79" t="inlineStr">
        <is>
          <t>ST-32T</t>
        </is>
      </c>
      <c r="C250" s="53" t="inlineStr">
        <is>
          <t>Showtech</t>
        </is>
      </c>
      <c r="D250" s="53" t="inlineStr">
        <is>
          <t>OUTDOOR</t>
        </is>
      </c>
      <c r="E250" s="53" t="inlineStr"/>
      <c r="F250" s="53" t="inlineStr"/>
      <c r="G250" s="53" t="inlineStr">
        <is>
          <t>DISPONIVEL</t>
        </is>
      </c>
      <c r="H250" s="53" t="inlineStr">
        <is>
          <t>USADO</t>
        </is>
      </c>
      <c r="I250" s="95" t="inlineStr">
        <is>
          <t>★★☆☆☆</t>
        </is>
      </c>
      <c r="J250" s="141" t="n">
        <v>664.99</v>
      </c>
      <c r="K250" s="143" t="n">
        <v>664.99</v>
      </c>
      <c r="L250" s="101">
        <f>IF(J250&gt;0,(J250-K250)/J250,"")</f>
        <v/>
      </c>
      <c r="M250" s="102" t="inlineStr"/>
    </row>
    <row r="251" ht="22" customHeight="1">
      <c r="A251" s="94" t="inlineStr">
        <is>
          <t>MMD-ILU-0097</t>
        </is>
      </c>
      <c r="B251" s="75" t="inlineStr">
        <is>
          <t>ST-32T</t>
        </is>
      </c>
      <c r="C251" s="58" t="inlineStr">
        <is>
          <t>Showtech</t>
        </is>
      </c>
      <c r="D251" s="58" t="inlineStr">
        <is>
          <t>OUTDOOR</t>
        </is>
      </c>
      <c r="E251" s="58" t="inlineStr"/>
      <c r="F251" s="58" t="inlineStr"/>
      <c r="G251" s="58" t="inlineStr">
        <is>
          <t>DISPONIVEL</t>
        </is>
      </c>
      <c r="H251" s="58" t="inlineStr">
        <is>
          <t>USADO</t>
        </is>
      </c>
      <c r="I251" s="95" t="inlineStr">
        <is>
          <t>★★☆☆☆</t>
        </is>
      </c>
      <c r="J251" s="142" t="n">
        <v>664.99</v>
      </c>
      <c r="K251" s="143" t="n">
        <v>664.99</v>
      </c>
      <c r="L251" s="98">
        <f>IF(J251&gt;0,(J251-K251)/J251,"")</f>
        <v/>
      </c>
      <c r="M251" s="99" t="inlineStr"/>
    </row>
    <row r="252" ht="22" customHeight="1">
      <c r="A252" s="54" t="inlineStr">
        <is>
          <t>MMD-ILU-0098</t>
        </is>
      </c>
      <c r="B252" s="79" t="inlineStr">
        <is>
          <t>ST-32T</t>
        </is>
      </c>
      <c r="C252" s="53" t="inlineStr">
        <is>
          <t>Showtech</t>
        </is>
      </c>
      <c r="D252" s="53" t="inlineStr">
        <is>
          <t>OUTDOOR</t>
        </is>
      </c>
      <c r="E252" s="53" t="inlineStr"/>
      <c r="F252" s="53" t="inlineStr"/>
      <c r="G252" s="53" t="inlineStr">
        <is>
          <t>DISPONIVEL</t>
        </is>
      </c>
      <c r="H252" s="53" t="inlineStr">
        <is>
          <t>USADO</t>
        </is>
      </c>
      <c r="I252" s="95" t="inlineStr">
        <is>
          <t>★★☆☆☆</t>
        </is>
      </c>
      <c r="J252" s="141" t="n">
        <v>664.99</v>
      </c>
      <c r="K252" s="143" t="n">
        <v>664.99</v>
      </c>
      <c r="L252" s="101">
        <f>IF(J252&gt;0,(J252-K252)/J252,"")</f>
        <v/>
      </c>
      <c r="M252" s="102" t="inlineStr"/>
    </row>
    <row r="253" ht="22" customHeight="1">
      <c r="A253" s="94" t="inlineStr">
        <is>
          <t>MMD-ILU-0099</t>
        </is>
      </c>
      <c r="B253" s="75" t="inlineStr">
        <is>
          <t>ST-32T</t>
        </is>
      </c>
      <c r="C253" s="58" t="inlineStr">
        <is>
          <t>Showtech</t>
        </is>
      </c>
      <c r="D253" s="58" t="inlineStr">
        <is>
          <t>OUTDOOR</t>
        </is>
      </c>
      <c r="E253" s="58" t="inlineStr"/>
      <c r="F253" s="58" t="inlineStr"/>
      <c r="G253" s="58" t="inlineStr">
        <is>
          <t>DISPONIVEL</t>
        </is>
      </c>
      <c r="H253" s="58" t="inlineStr">
        <is>
          <t>USADO</t>
        </is>
      </c>
      <c r="I253" s="95" t="inlineStr">
        <is>
          <t>★★☆☆☆</t>
        </is>
      </c>
      <c r="J253" s="142" t="n">
        <v>664.99</v>
      </c>
      <c r="K253" s="143" t="n">
        <v>664.99</v>
      </c>
      <c r="L253" s="98">
        <f>IF(J253&gt;0,(J253-K253)/J253,"")</f>
        <v/>
      </c>
      <c r="M253" s="99" t="inlineStr"/>
    </row>
    <row r="254" ht="22" customHeight="1">
      <c r="A254" s="54" t="inlineStr">
        <is>
          <t>MMD-ILU-0100</t>
        </is>
      </c>
      <c r="B254" s="79" t="inlineStr">
        <is>
          <t>ST-32T</t>
        </is>
      </c>
      <c r="C254" s="53" t="inlineStr">
        <is>
          <t>Showtech</t>
        </is>
      </c>
      <c r="D254" s="53" t="inlineStr">
        <is>
          <t>OUTDOOR</t>
        </is>
      </c>
      <c r="E254" s="53" t="inlineStr"/>
      <c r="F254" s="53" t="inlineStr"/>
      <c r="G254" s="53" t="inlineStr">
        <is>
          <t>DISPONIVEL</t>
        </is>
      </c>
      <c r="H254" s="53" t="inlineStr">
        <is>
          <t>USADO</t>
        </is>
      </c>
      <c r="I254" s="95" t="inlineStr">
        <is>
          <t>★★☆☆☆</t>
        </is>
      </c>
      <c r="J254" s="141" t="n">
        <v>664.99</v>
      </c>
      <c r="K254" s="143" t="n">
        <v>664.99</v>
      </c>
      <c r="L254" s="101">
        <f>IF(J254&gt;0,(J254-K254)/J254,"")</f>
        <v/>
      </c>
      <c r="M254" s="102" t="inlineStr"/>
    </row>
    <row r="255" ht="22" customHeight="1">
      <c r="A255" s="94" t="inlineStr">
        <is>
          <t>MMD-ILU-0101</t>
        </is>
      </c>
      <c r="B255" s="75" t="inlineStr">
        <is>
          <t>ST-32T</t>
        </is>
      </c>
      <c r="C255" s="58" t="inlineStr">
        <is>
          <t>Showtech</t>
        </is>
      </c>
      <c r="D255" s="58" t="inlineStr">
        <is>
          <t>OUTDOOR</t>
        </is>
      </c>
      <c r="E255" s="58" t="inlineStr"/>
      <c r="F255" s="58" t="inlineStr"/>
      <c r="G255" s="58" t="inlineStr">
        <is>
          <t>DISPONIVEL</t>
        </is>
      </c>
      <c r="H255" s="58" t="inlineStr">
        <is>
          <t>USADO</t>
        </is>
      </c>
      <c r="I255" s="95" t="inlineStr">
        <is>
          <t>★★☆☆☆</t>
        </is>
      </c>
      <c r="J255" s="142" t="n">
        <v>664.99</v>
      </c>
      <c r="K255" s="143" t="n">
        <v>664.99</v>
      </c>
      <c r="L255" s="98">
        <f>IF(J255&gt;0,(J255-K255)/J255,"")</f>
        <v/>
      </c>
      <c r="M255" s="99" t="inlineStr"/>
    </row>
    <row r="256" ht="22" customHeight="1">
      <c r="A256" s="54" t="inlineStr">
        <is>
          <t>MMD-ILU-0102</t>
        </is>
      </c>
      <c r="B256" s="79" t="inlineStr">
        <is>
          <t>ST-32T</t>
        </is>
      </c>
      <c r="C256" s="53" t="inlineStr">
        <is>
          <t>Showtech</t>
        </is>
      </c>
      <c r="D256" s="53" t="inlineStr">
        <is>
          <t>OUTDOOR</t>
        </is>
      </c>
      <c r="E256" s="53" t="inlineStr"/>
      <c r="F256" s="53" t="inlineStr"/>
      <c r="G256" s="53" t="inlineStr">
        <is>
          <t>DISPONIVEL</t>
        </is>
      </c>
      <c r="H256" s="53" t="inlineStr">
        <is>
          <t>USADO</t>
        </is>
      </c>
      <c r="I256" s="95" t="inlineStr">
        <is>
          <t>★★☆☆☆</t>
        </is>
      </c>
      <c r="J256" s="141" t="n">
        <v>664.99</v>
      </c>
      <c r="K256" s="143" t="n">
        <v>664.99</v>
      </c>
      <c r="L256" s="101">
        <f>IF(J256&gt;0,(J256-K256)/J256,"")</f>
        <v/>
      </c>
      <c r="M256" s="102" t="inlineStr"/>
    </row>
    <row r="257" ht="22" customHeight="1">
      <c r="A257" s="94" t="inlineStr">
        <is>
          <t>MMD-ILU-0103</t>
        </is>
      </c>
      <c r="B257" s="75" t="inlineStr">
        <is>
          <t>ST-32T</t>
        </is>
      </c>
      <c r="C257" s="58" t="inlineStr">
        <is>
          <t>Showtech</t>
        </is>
      </c>
      <c r="D257" s="58" t="inlineStr">
        <is>
          <t>OUTDOOR</t>
        </is>
      </c>
      <c r="E257" s="58" t="inlineStr"/>
      <c r="F257" s="58" t="inlineStr"/>
      <c r="G257" s="58" t="inlineStr">
        <is>
          <t>DISPONIVEL</t>
        </is>
      </c>
      <c r="H257" s="58" t="inlineStr">
        <is>
          <t>USADO</t>
        </is>
      </c>
      <c r="I257" s="95" t="inlineStr">
        <is>
          <t>★★☆☆☆</t>
        </is>
      </c>
      <c r="J257" s="142" t="n">
        <v>664.99</v>
      </c>
      <c r="K257" s="143" t="n">
        <v>664.99</v>
      </c>
      <c r="L257" s="98">
        <f>IF(J257&gt;0,(J257-K257)/J257,"")</f>
        <v/>
      </c>
      <c r="M257" s="99" t="inlineStr"/>
    </row>
    <row r="258" ht="22" customHeight="1">
      <c r="A258" s="54" t="inlineStr">
        <is>
          <t>MMD-ILU-0104</t>
        </is>
      </c>
      <c r="B258" s="79" t="inlineStr">
        <is>
          <t>ST-32T</t>
        </is>
      </c>
      <c r="C258" s="53" t="inlineStr">
        <is>
          <t>Showtech</t>
        </is>
      </c>
      <c r="D258" s="53" t="inlineStr">
        <is>
          <t>OUTDOOR</t>
        </is>
      </c>
      <c r="E258" s="53" t="inlineStr"/>
      <c r="F258" s="53" t="inlineStr"/>
      <c r="G258" s="53" t="inlineStr">
        <is>
          <t>DISPONIVEL</t>
        </is>
      </c>
      <c r="H258" s="53" t="inlineStr">
        <is>
          <t>USADO</t>
        </is>
      </c>
      <c r="I258" s="95" t="inlineStr">
        <is>
          <t>★★☆☆☆</t>
        </is>
      </c>
      <c r="J258" s="141" t="n">
        <v>664.99</v>
      </c>
      <c r="K258" s="143" t="n">
        <v>664.99</v>
      </c>
      <c r="L258" s="101">
        <f>IF(J258&gt;0,(J258-K258)/J258,"")</f>
        <v/>
      </c>
      <c r="M258" s="102" t="inlineStr"/>
    </row>
    <row r="259" ht="22" customHeight="1">
      <c r="A259" s="94" t="inlineStr">
        <is>
          <t>MMD-ILU-0105</t>
        </is>
      </c>
      <c r="B259" s="75" t="inlineStr">
        <is>
          <t>ST-32T</t>
        </is>
      </c>
      <c r="C259" s="58" t="inlineStr">
        <is>
          <t>Showtech</t>
        </is>
      </c>
      <c r="D259" s="58" t="inlineStr">
        <is>
          <t>OUTDOOR</t>
        </is>
      </c>
      <c r="E259" s="58" t="inlineStr"/>
      <c r="F259" s="58" t="inlineStr"/>
      <c r="G259" s="58" t="inlineStr">
        <is>
          <t>DISPONIVEL</t>
        </is>
      </c>
      <c r="H259" s="58" t="inlineStr">
        <is>
          <t>USADO</t>
        </is>
      </c>
      <c r="I259" s="95" t="inlineStr">
        <is>
          <t>★★☆☆☆</t>
        </is>
      </c>
      <c r="J259" s="142" t="n">
        <v>664.99</v>
      </c>
      <c r="K259" s="143" t="n">
        <v>664.99</v>
      </c>
      <c r="L259" s="98">
        <f>IF(J259&gt;0,(J259-K259)/J259,"")</f>
        <v/>
      </c>
      <c r="M259" s="99" t="inlineStr"/>
    </row>
    <row r="260" ht="22" customHeight="1">
      <c r="A260" s="54" t="inlineStr">
        <is>
          <t>MMD-ILU-0106</t>
        </is>
      </c>
      <c r="B260" s="79" t="inlineStr">
        <is>
          <t>ST-32T</t>
        </is>
      </c>
      <c r="C260" s="53" t="inlineStr">
        <is>
          <t>Showtech</t>
        </is>
      </c>
      <c r="D260" s="53" t="inlineStr">
        <is>
          <t>OUTDOOR</t>
        </is>
      </c>
      <c r="E260" s="53" t="inlineStr"/>
      <c r="F260" s="53" t="inlineStr"/>
      <c r="G260" s="53" t="inlineStr">
        <is>
          <t>DISPONIVEL</t>
        </is>
      </c>
      <c r="H260" s="53" t="inlineStr">
        <is>
          <t>USADO</t>
        </is>
      </c>
      <c r="I260" s="95" t="inlineStr">
        <is>
          <t>★★☆☆☆</t>
        </is>
      </c>
      <c r="J260" s="141" t="n">
        <v>664.99</v>
      </c>
      <c r="K260" s="143" t="n">
        <v>664.99</v>
      </c>
      <c r="L260" s="101">
        <f>IF(J260&gt;0,(J260-K260)/J260,"")</f>
        <v/>
      </c>
      <c r="M260" s="102" t="inlineStr"/>
    </row>
    <row r="261" ht="22" customHeight="1">
      <c r="A261" s="94" t="inlineStr">
        <is>
          <t>MMD-ILU-0107</t>
        </is>
      </c>
      <c r="B261" s="75" t="inlineStr">
        <is>
          <t>ST-32T</t>
        </is>
      </c>
      <c r="C261" s="58" t="inlineStr">
        <is>
          <t>Showtech</t>
        </is>
      </c>
      <c r="D261" s="58" t="inlineStr">
        <is>
          <t>OUTDOOR</t>
        </is>
      </c>
      <c r="E261" s="58" t="inlineStr"/>
      <c r="F261" s="58" t="inlineStr"/>
      <c r="G261" s="58" t="inlineStr">
        <is>
          <t>DISPONIVEL</t>
        </is>
      </c>
      <c r="H261" s="58" t="inlineStr">
        <is>
          <t>USADO</t>
        </is>
      </c>
      <c r="I261" s="95" t="inlineStr">
        <is>
          <t>★★☆☆☆</t>
        </is>
      </c>
      <c r="J261" s="142" t="n">
        <v>664.99</v>
      </c>
      <c r="K261" s="143" t="n">
        <v>664.99</v>
      </c>
      <c r="L261" s="98">
        <f>IF(J261&gt;0,(J261-K261)/J261,"")</f>
        <v/>
      </c>
      <c r="M261" s="99" t="inlineStr"/>
    </row>
    <row r="262" ht="22" customHeight="1">
      <c r="A262" s="54" t="inlineStr">
        <is>
          <t>MMD-ILU-0108</t>
        </is>
      </c>
      <c r="B262" s="79" t="inlineStr">
        <is>
          <t>ST-32T</t>
        </is>
      </c>
      <c r="C262" s="53" t="inlineStr">
        <is>
          <t>Showtech</t>
        </is>
      </c>
      <c r="D262" s="53" t="inlineStr">
        <is>
          <t>OUTDOOR</t>
        </is>
      </c>
      <c r="E262" s="53" t="inlineStr"/>
      <c r="F262" s="53" t="inlineStr"/>
      <c r="G262" s="53" t="inlineStr">
        <is>
          <t>DISPONIVEL</t>
        </is>
      </c>
      <c r="H262" s="53" t="inlineStr">
        <is>
          <t>USADO</t>
        </is>
      </c>
      <c r="I262" s="95" t="inlineStr">
        <is>
          <t>★★☆☆☆</t>
        </is>
      </c>
      <c r="J262" s="141" t="n">
        <v>664.99</v>
      </c>
      <c r="K262" s="143" t="n">
        <v>664.99</v>
      </c>
      <c r="L262" s="101">
        <f>IF(J262&gt;0,(J262-K262)/J262,"")</f>
        <v/>
      </c>
      <c r="M262" s="102" t="inlineStr"/>
    </row>
    <row r="263" ht="22" customHeight="1">
      <c r="A263" s="94" t="inlineStr">
        <is>
          <t>MMD-ILU-0109</t>
        </is>
      </c>
      <c r="B263" s="75" t="inlineStr">
        <is>
          <t>ST-32T</t>
        </is>
      </c>
      <c r="C263" s="58" t="inlineStr">
        <is>
          <t>Showtech</t>
        </is>
      </c>
      <c r="D263" s="58" t="inlineStr">
        <is>
          <t>OUTDOOR</t>
        </is>
      </c>
      <c r="E263" s="58" t="inlineStr"/>
      <c r="F263" s="58" t="inlineStr"/>
      <c r="G263" s="58" t="inlineStr">
        <is>
          <t>DISPONIVEL</t>
        </is>
      </c>
      <c r="H263" s="58" t="inlineStr">
        <is>
          <t>USADO</t>
        </is>
      </c>
      <c r="I263" s="95" t="inlineStr">
        <is>
          <t>★★☆☆☆</t>
        </is>
      </c>
      <c r="J263" s="142" t="n">
        <v>664.99</v>
      </c>
      <c r="K263" s="143" t="n">
        <v>664.99</v>
      </c>
      <c r="L263" s="98">
        <f>IF(J263&gt;0,(J263-K263)/J263,"")</f>
        <v/>
      </c>
      <c r="M263" s="99" t="inlineStr"/>
    </row>
    <row r="264" ht="22" customHeight="1">
      <c r="A264" s="54" t="inlineStr">
        <is>
          <t>MMD-ILU-0110</t>
        </is>
      </c>
      <c r="B264" s="79" t="inlineStr">
        <is>
          <t>ST-32T</t>
        </is>
      </c>
      <c r="C264" s="53" t="inlineStr">
        <is>
          <t>Showtech</t>
        </is>
      </c>
      <c r="D264" s="53" t="inlineStr">
        <is>
          <t>OUTDOOR</t>
        </is>
      </c>
      <c r="E264" s="53" t="inlineStr"/>
      <c r="F264" s="53" t="inlineStr"/>
      <c r="G264" s="53" t="inlineStr">
        <is>
          <t>DISPONIVEL</t>
        </is>
      </c>
      <c r="H264" s="53" t="inlineStr">
        <is>
          <t>USADO</t>
        </is>
      </c>
      <c r="I264" s="95" t="inlineStr">
        <is>
          <t>★★☆☆☆</t>
        </is>
      </c>
      <c r="J264" s="141" t="n">
        <v>664.99</v>
      </c>
      <c r="K264" s="143" t="n">
        <v>664.99</v>
      </c>
      <c r="L264" s="101">
        <f>IF(J264&gt;0,(J264-K264)/J264,"")</f>
        <v/>
      </c>
      <c r="M264" s="102" t="inlineStr"/>
    </row>
    <row r="265" ht="22" customHeight="1">
      <c r="A265" s="94" t="inlineStr">
        <is>
          <t>MMD-ILU-0111</t>
        </is>
      </c>
      <c r="B265" s="75" t="inlineStr">
        <is>
          <t>ST-32T</t>
        </is>
      </c>
      <c r="C265" s="58" t="inlineStr">
        <is>
          <t>Showtech</t>
        </is>
      </c>
      <c r="D265" s="58" t="inlineStr">
        <is>
          <t>OUTDOOR</t>
        </is>
      </c>
      <c r="E265" s="58" t="inlineStr"/>
      <c r="F265" s="58" t="inlineStr"/>
      <c r="G265" s="58" t="inlineStr">
        <is>
          <t>DISPONIVEL</t>
        </is>
      </c>
      <c r="H265" s="58" t="inlineStr">
        <is>
          <t>USADO</t>
        </is>
      </c>
      <c r="I265" s="95" t="inlineStr">
        <is>
          <t>★★☆☆☆</t>
        </is>
      </c>
      <c r="J265" s="142" t="n">
        <v>664.99</v>
      </c>
      <c r="K265" s="143" t="n">
        <v>664.99</v>
      </c>
      <c r="L265" s="98">
        <f>IF(J265&gt;0,(J265-K265)/J265,"")</f>
        <v/>
      </c>
      <c r="M265" s="99" t="inlineStr"/>
    </row>
    <row r="266" ht="22" customHeight="1">
      <c r="A266" s="54" t="inlineStr">
        <is>
          <t>MMD-ILU-0112</t>
        </is>
      </c>
      <c r="B266" s="79" t="inlineStr">
        <is>
          <t>ST-32T</t>
        </is>
      </c>
      <c r="C266" s="53" t="inlineStr">
        <is>
          <t>Showtech</t>
        </is>
      </c>
      <c r="D266" s="53" t="inlineStr">
        <is>
          <t>OUTDOOR</t>
        </is>
      </c>
      <c r="E266" s="53" t="inlineStr"/>
      <c r="F266" s="53" t="inlineStr"/>
      <c r="G266" s="53" t="inlineStr">
        <is>
          <t>DISPONIVEL</t>
        </is>
      </c>
      <c r="H266" s="53" t="inlineStr">
        <is>
          <t>USADO</t>
        </is>
      </c>
      <c r="I266" s="95" t="inlineStr">
        <is>
          <t>★★☆☆☆</t>
        </is>
      </c>
      <c r="J266" s="141" t="n">
        <v>664.99</v>
      </c>
      <c r="K266" s="143" t="n">
        <v>664.99</v>
      </c>
      <c r="L266" s="101">
        <f>IF(J266&gt;0,(J266-K266)/J266,"")</f>
        <v/>
      </c>
      <c r="M266" s="102" t="inlineStr"/>
    </row>
    <row r="267" ht="22" customHeight="1">
      <c r="A267" s="94" t="inlineStr">
        <is>
          <t>MMD-ILU-0113</t>
        </is>
      </c>
      <c r="B267" s="75" t="inlineStr">
        <is>
          <t>ST-32T</t>
        </is>
      </c>
      <c r="C267" s="58" t="inlineStr">
        <is>
          <t>Showtech</t>
        </is>
      </c>
      <c r="D267" s="58" t="inlineStr">
        <is>
          <t>OUTDOOR</t>
        </is>
      </c>
      <c r="E267" s="58" t="inlineStr"/>
      <c r="F267" s="58" t="inlineStr"/>
      <c r="G267" s="58" t="inlineStr">
        <is>
          <t>DISPONIVEL</t>
        </is>
      </c>
      <c r="H267" s="58" t="inlineStr">
        <is>
          <t>USADO</t>
        </is>
      </c>
      <c r="I267" s="95" t="inlineStr">
        <is>
          <t>★★☆☆☆</t>
        </is>
      </c>
      <c r="J267" s="142" t="n">
        <v>664.99</v>
      </c>
      <c r="K267" s="143" t="n">
        <v>664.99</v>
      </c>
      <c r="L267" s="98">
        <f>IF(J267&gt;0,(J267-K267)/J267,"")</f>
        <v/>
      </c>
      <c r="M267" s="99" t="inlineStr"/>
    </row>
    <row r="268" ht="22" customHeight="1">
      <c r="A268" s="54" t="inlineStr">
        <is>
          <t>MMD-ILU-0114</t>
        </is>
      </c>
      <c r="B268" s="79" t="inlineStr">
        <is>
          <t>ST-32T</t>
        </is>
      </c>
      <c r="C268" s="53" t="inlineStr">
        <is>
          <t>Showtech</t>
        </is>
      </c>
      <c r="D268" s="53" t="inlineStr">
        <is>
          <t>OUTDOOR</t>
        </is>
      </c>
      <c r="E268" s="53" t="inlineStr"/>
      <c r="F268" s="53" t="inlineStr"/>
      <c r="G268" s="53" t="inlineStr">
        <is>
          <t>DISPONIVEL</t>
        </is>
      </c>
      <c r="H268" s="53" t="inlineStr">
        <is>
          <t>USADO</t>
        </is>
      </c>
      <c r="I268" s="95" t="inlineStr">
        <is>
          <t>★★☆☆☆</t>
        </is>
      </c>
      <c r="J268" s="141" t="n">
        <v>664.99</v>
      </c>
      <c r="K268" s="143" t="n">
        <v>664.99</v>
      </c>
      <c r="L268" s="101">
        <f>IF(J268&gt;0,(J268-K268)/J268,"")</f>
        <v/>
      </c>
      <c r="M268" s="102" t="inlineStr"/>
    </row>
    <row r="269" ht="22" customHeight="1">
      <c r="A269" s="94" t="inlineStr">
        <is>
          <t>MMD-ILU-0115</t>
        </is>
      </c>
      <c r="B269" s="75" t="inlineStr">
        <is>
          <t>ST-32T</t>
        </is>
      </c>
      <c r="C269" s="58" t="inlineStr">
        <is>
          <t>Showtech</t>
        </is>
      </c>
      <c r="D269" s="58" t="inlineStr">
        <is>
          <t>OUTDOOR</t>
        </is>
      </c>
      <c r="E269" s="58" t="inlineStr"/>
      <c r="F269" s="58" t="inlineStr"/>
      <c r="G269" s="58" t="inlineStr">
        <is>
          <t>DISPONIVEL</t>
        </is>
      </c>
      <c r="H269" s="58" t="inlineStr">
        <is>
          <t>USADO</t>
        </is>
      </c>
      <c r="I269" s="95" t="inlineStr">
        <is>
          <t>★★☆☆☆</t>
        </is>
      </c>
      <c r="J269" s="142" t="n">
        <v>664.99</v>
      </c>
      <c r="K269" s="143" t="n">
        <v>664.99</v>
      </c>
      <c r="L269" s="98">
        <f>IF(J269&gt;0,(J269-K269)/J269,"")</f>
        <v/>
      </c>
      <c r="M269" s="99" t="inlineStr"/>
    </row>
    <row r="270" ht="22" customHeight="1">
      <c r="A270" s="54" t="inlineStr">
        <is>
          <t>MMD-ILU-0238</t>
        </is>
      </c>
      <c r="B270" s="79" t="inlineStr">
        <is>
          <t>BRIWAX</t>
        </is>
      </c>
      <c r="C270" s="53" t="inlineStr"/>
      <c r="D270" s="53" t="inlineStr">
        <is>
          <t>OUTDOOR</t>
        </is>
      </c>
      <c r="E270" s="53" t="inlineStr"/>
      <c r="F270" s="53" t="inlineStr"/>
      <c r="G270" s="53" t="inlineStr">
        <is>
          <t>DISPONIVEL</t>
        </is>
      </c>
      <c r="H270" s="53" t="inlineStr">
        <is>
          <t>USADO</t>
        </is>
      </c>
      <c r="I270" s="95" t="inlineStr">
        <is>
          <t>★★☆☆☆</t>
        </is>
      </c>
      <c r="J270" s="141" t="n">
        <v>1350</v>
      </c>
      <c r="K270" s="143" t="n">
        <v>1290</v>
      </c>
      <c r="L270" s="101">
        <f>IF(J270&gt;0,(J270-K270)/J270,"")</f>
        <v/>
      </c>
      <c r="M270" s="102" t="inlineStr"/>
    </row>
    <row r="271" ht="22" customHeight="1">
      <c r="A271" s="94" t="inlineStr">
        <is>
          <t>MMD-ILU-0239</t>
        </is>
      </c>
      <c r="B271" s="75" t="inlineStr">
        <is>
          <t>IP65</t>
        </is>
      </c>
      <c r="C271" s="58" t="inlineStr"/>
      <c r="D271" s="58" t="inlineStr">
        <is>
          <t>OUTDOOR</t>
        </is>
      </c>
      <c r="E271" s="58" t="inlineStr">
        <is>
          <t>736</t>
        </is>
      </c>
      <c r="F271" s="58" t="inlineStr"/>
      <c r="G271" s="58" t="inlineStr">
        <is>
          <t>DISPONIVEL</t>
        </is>
      </c>
      <c r="H271" s="58" t="inlineStr">
        <is>
          <t>USADO</t>
        </is>
      </c>
      <c r="I271" s="95" t="inlineStr">
        <is>
          <t>★★☆☆☆</t>
        </is>
      </c>
      <c r="J271" s="142" t="n">
        <v>1350</v>
      </c>
      <c r="K271" s="143" t="n">
        <v>1290</v>
      </c>
      <c r="L271" s="98">
        <f>IF(J271&gt;0,(J271-K271)/J271,"")</f>
        <v/>
      </c>
      <c r="M271" s="99" t="inlineStr"/>
    </row>
    <row r="272" ht="22" customHeight="1">
      <c r="A272" s="54" t="inlineStr">
        <is>
          <t>MMD-ILU-0240</t>
        </is>
      </c>
      <c r="B272" s="79" t="inlineStr">
        <is>
          <t>TEK SRG</t>
        </is>
      </c>
      <c r="C272" s="53" t="inlineStr"/>
      <c r="D272" s="53" t="inlineStr">
        <is>
          <t>OUTDOOR</t>
        </is>
      </c>
      <c r="E272" s="53" t="inlineStr"/>
      <c r="F272" s="53" t="inlineStr"/>
      <c r="G272" s="53" t="inlineStr">
        <is>
          <t>DISPONIVEL</t>
        </is>
      </c>
      <c r="H272" s="53" t="inlineStr">
        <is>
          <t>USADO</t>
        </is>
      </c>
      <c r="I272" s="95" t="inlineStr">
        <is>
          <t>★★☆☆☆</t>
        </is>
      </c>
      <c r="J272" s="141" t="n">
        <v>1350</v>
      </c>
      <c r="K272" s="143" t="n">
        <v>560</v>
      </c>
      <c r="L272" s="101">
        <f>IF(J272&gt;0,(J272-K272)/J272,"")</f>
        <v/>
      </c>
      <c r="M272" s="102" t="inlineStr"/>
    </row>
    <row r="273" ht="24" customHeight="1">
      <c r="A273" s="92" t="inlineStr">
        <is>
          <t xml:space="preserve">  OUTRAS LUZES  (4)</t>
        </is>
      </c>
    </row>
    <row r="274" ht="22" customHeight="1">
      <c r="A274" s="94" t="inlineStr">
        <is>
          <t>MMD-ILU-0173</t>
        </is>
      </c>
      <c r="B274" s="75" t="inlineStr">
        <is>
          <t>ST-630BQ</t>
        </is>
      </c>
      <c r="C274" s="58" t="inlineStr">
        <is>
          <t>Showtech</t>
        </is>
      </c>
      <c r="D274" s="58" t="inlineStr">
        <is>
          <t>OUTRAS LUZES</t>
        </is>
      </c>
      <c r="E274" s="58" t="inlineStr"/>
      <c r="F274" s="58" t="inlineStr"/>
      <c r="G274" s="58" t="inlineStr">
        <is>
          <t>DISPONIVEL</t>
        </is>
      </c>
      <c r="H274" s="58" t="inlineStr">
        <is>
          <t>USADO</t>
        </is>
      </c>
      <c r="I274" s="95" t="inlineStr">
        <is>
          <t>★★☆☆☆</t>
        </is>
      </c>
      <c r="J274" s="142" t="n">
        <v>289</v>
      </c>
      <c r="K274" s="143" t="n">
        <v>1100</v>
      </c>
      <c r="L274" s="98">
        <f>IF(J274&gt;0,(J274-K274)/J274,"")</f>
        <v/>
      </c>
      <c r="M274" s="99" t="inlineStr"/>
    </row>
    <row r="275" ht="22" customHeight="1">
      <c r="A275" s="54" t="inlineStr">
        <is>
          <t>MMD-ILU-0268</t>
        </is>
      </c>
      <c r="B275" s="79" t="inlineStr">
        <is>
          <t>AMERICAN PRO LED-2517 NEPTEC</t>
        </is>
      </c>
      <c r="C275" s="53" t="inlineStr"/>
      <c r="D275" s="53" t="inlineStr">
        <is>
          <t>OUTRAS LUZES</t>
        </is>
      </c>
      <c r="E275" s="53" t="inlineStr">
        <is>
          <t>1108078057</t>
        </is>
      </c>
      <c r="F275" s="53" t="inlineStr"/>
      <c r="G275" s="53" t="inlineStr">
        <is>
          <t>DISPONIVEL</t>
        </is>
      </c>
      <c r="H275" s="53" t="inlineStr">
        <is>
          <t>USADO</t>
        </is>
      </c>
      <c r="I275" s="95" t="inlineStr">
        <is>
          <t>★★☆☆☆</t>
        </is>
      </c>
      <c r="J275" s="141" t="n">
        <v>171</v>
      </c>
      <c r="K275" s="143" t="n">
        <v>171</v>
      </c>
      <c r="L275" s="101">
        <f>IF(J275&gt;0,(J275-K275)/J275,"")</f>
        <v/>
      </c>
      <c r="M275" s="102" t="inlineStr"/>
    </row>
    <row r="276" ht="22" customHeight="1">
      <c r="A276" s="94" t="inlineStr">
        <is>
          <t>MMD-ILU-0269</t>
        </is>
      </c>
      <c r="B276" s="75" t="inlineStr">
        <is>
          <t>MD-LED-020M MAGIC DAZZLE</t>
        </is>
      </c>
      <c r="C276" s="58" t="inlineStr"/>
      <c r="D276" s="58" t="inlineStr">
        <is>
          <t>OUTRAS LUZES</t>
        </is>
      </c>
      <c r="E276" s="58" t="inlineStr"/>
      <c r="F276" s="58" t="inlineStr"/>
      <c r="G276" s="58" t="inlineStr">
        <is>
          <t>DISPONIVEL</t>
        </is>
      </c>
      <c r="H276" s="58" t="inlineStr">
        <is>
          <t>USADO</t>
        </is>
      </c>
      <c r="I276" s="95" t="inlineStr">
        <is>
          <t>★★☆☆☆</t>
        </is>
      </c>
      <c r="J276" s="142" t="n">
        <v>171</v>
      </c>
      <c r="K276" s="143" t="n">
        <v>171</v>
      </c>
      <c r="L276" s="98">
        <f>IF(J276&gt;0,(J276-K276)/J276,"")</f>
        <v/>
      </c>
      <c r="M276" s="99" t="inlineStr"/>
    </row>
    <row r="277" ht="22" customHeight="1">
      <c r="A277" s="54" t="inlineStr">
        <is>
          <t>MMD-ILU-0270</t>
        </is>
      </c>
      <c r="B277" s="79" t="inlineStr">
        <is>
          <t>MD-W210220 MAGIC DAZZLE</t>
        </is>
      </c>
      <c r="C277" s="53" t="inlineStr"/>
      <c r="D277" s="53" t="inlineStr">
        <is>
          <t>OUTRAS LUZES</t>
        </is>
      </c>
      <c r="E277" s="53" t="inlineStr"/>
      <c r="F277" s="53" t="inlineStr"/>
      <c r="G277" s="53" t="inlineStr">
        <is>
          <t>DISPONIVEL</t>
        </is>
      </c>
      <c r="H277" s="53" t="inlineStr">
        <is>
          <t>USADO</t>
        </is>
      </c>
      <c r="I277" s="95" t="inlineStr">
        <is>
          <t>★★☆☆☆</t>
        </is>
      </c>
      <c r="J277" s="141" t="n">
        <v>171</v>
      </c>
      <c r="K277" s="143" t="n">
        <v>171</v>
      </c>
      <c r="L277" s="101">
        <f>IF(J277&gt;0,(J277-K277)/J277,"")</f>
        <v/>
      </c>
      <c r="M277" s="102" t="inlineStr"/>
    </row>
    <row r="278" ht="24" customHeight="1">
      <c r="A278" s="92" t="inlineStr">
        <is>
          <t xml:space="preserve">  RIBALTA LASER  (2)</t>
        </is>
      </c>
    </row>
    <row r="279" ht="22" customHeight="1">
      <c r="A279" s="94" t="inlineStr">
        <is>
          <t>MMD-ILU-0063</t>
        </is>
      </c>
      <c r="B279" s="75" t="inlineStr">
        <is>
          <t>LASER COM LED (08 LASER 7 LED)</t>
        </is>
      </c>
      <c r="C279" s="58" t="inlineStr"/>
      <c r="D279" s="58" t="inlineStr">
        <is>
          <t>RIBALTA LASER</t>
        </is>
      </c>
      <c r="E279" s="58" t="inlineStr"/>
      <c r="F279" s="58" t="inlineStr"/>
      <c r="G279" s="58" t="inlineStr">
        <is>
          <t>DISPONIVEL</t>
        </is>
      </c>
      <c r="H279" s="58" t="inlineStr">
        <is>
          <t>USADO</t>
        </is>
      </c>
      <c r="I279" s="95" t="inlineStr">
        <is>
          <t>★★☆☆☆</t>
        </is>
      </c>
      <c r="J279" s="142" t="n">
        <v>799</v>
      </c>
      <c r="K279" s="143" t="n">
        <v>639</v>
      </c>
      <c r="L279" s="98">
        <f>IF(J279&gt;0,(J279-K279)/J279,"")</f>
        <v/>
      </c>
      <c r="M279" s="99" t="inlineStr"/>
    </row>
    <row r="280" ht="22" customHeight="1">
      <c r="A280" s="54" t="inlineStr">
        <is>
          <t>MMD-ILU-0080</t>
        </is>
      </c>
      <c r="B280" s="79" t="inlineStr">
        <is>
          <t>LASER COM LED (08 LASER 7 LED)</t>
        </is>
      </c>
      <c r="C280" s="53" t="inlineStr"/>
      <c r="D280" s="53" t="inlineStr">
        <is>
          <t>RIBALTA LASER</t>
        </is>
      </c>
      <c r="E280" s="53" t="inlineStr"/>
      <c r="F280" s="53" t="inlineStr"/>
      <c r="G280" s="53" t="inlineStr">
        <is>
          <t>DISPONIVEL</t>
        </is>
      </c>
      <c r="H280" s="53" t="inlineStr">
        <is>
          <t>USADO</t>
        </is>
      </c>
      <c r="I280" s="95" t="inlineStr">
        <is>
          <t>★★☆☆☆</t>
        </is>
      </c>
      <c r="J280" s="141" t="n">
        <v>799</v>
      </c>
      <c r="K280" s="143" t="n">
        <v>639</v>
      </c>
      <c r="L280" s="101">
        <f>IF(J280&gt;0,(J280-K280)/J280,"")</f>
        <v/>
      </c>
      <c r="M280" s="102" t="inlineStr"/>
    </row>
    <row r="281" ht="24" customHeight="1">
      <c r="A281" s="92" t="inlineStr">
        <is>
          <t xml:space="preserve">  SPLITTER DMX  (3)</t>
        </is>
      </c>
    </row>
    <row r="282" ht="22" customHeight="1">
      <c r="A282" s="94" t="inlineStr">
        <is>
          <t>MMD-ILU-0181</t>
        </is>
      </c>
      <c r="B282" s="75" t="inlineStr">
        <is>
          <t>LIGHT SPLITTER DMX 4 SAÍDAS / 1 ENTRADA</t>
        </is>
      </c>
      <c r="C282" s="58" t="inlineStr">
        <is>
          <t>Lumyna</t>
        </is>
      </c>
      <c r="D282" s="58" t="inlineStr">
        <is>
          <t>SPLITTER DMX</t>
        </is>
      </c>
      <c r="E282" s="58" t="inlineStr"/>
      <c r="F282" s="58" t="inlineStr"/>
      <c r="G282" s="58" t="inlineStr">
        <is>
          <t>DISPONIVEL</t>
        </is>
      </c>
      <c r="H282" s="58" t="inlineStr">
        <is>
          <t>USADO</t>
        </is>
      </c>
      <c r="I282" s="103" t="inlineStr">
        <is>
          <t>★★★☆☆</t>
        </is>
      </c>
      <c r="J282" s="142" t="n">
        <v>479.99</v>
      </c>
      <c r="K282" s="143" t="n">
        <v>365.76</v>
      </c>
      <c r="L282" s="98">
        <f>IF(J282&gt;0,(J282-K282)/J282,"")</f>
        <v/>
      </c>
      <c r="M282" s="99" t="inlineStr"/>
    </row>
    <row r="283" ht="22" customHeight="1">
      <c r="A283" s="54" t="inlineStr">
        <is>
          <t>MMD-ILU-0182</t>
        </is>
      </c>
      <c r="B283" s="79" t="inlineStr">
        <is>
          <t>8 WAY DMX DISTRIBUTOR</t>
        </is>
      </c>
      <c r="C283" s="53" t="inlineStr"/>
      <c r="D283" s="53" t="inlineStr">
        <is>
          <t>SPLITTER DMX</t>
        </is>
      </c>
      <c r="E283" s="53" t="inlineStr"/>
      <c r="F283" s="53" t="inlineStr"/>
      <c r="G283" s="53" t="inlineStr">
        <is>
          <t>DISPONIVEL</t>
        </is>
      </c>
      <c r="H283" s="53" t="inlineStr">
        <is>
          <t>USADO</t>
        </is>
      </c>
      <c r="I283" s="103" t="inlineStr">
        <is>
          <t>★★★☆☆</t>
        </is>
      </c>
      <c r="J283" s="141" t="n">
        <v>1196</v>
      </c>
      <c r="K283" s="143" t="n">
        <v>1196</v>
      </c>
      <c r="L283" s="101">
        <f>IF(J283&gt;0,(J283-K283)/J283,"")</f>
        <v/>
      </c>
      <c r="M283" s="102" t="inlineStr"/>
    </row>
    <row r="284" ht="22" customHeight="1">
      <c r="A284" s="94" t="inlineStr">
        <is>
          <t>MMD-ILU-0183</t>
        </is>
      </c>
      <c r="B284" s="75" t="inlineStr">
        <is>
          <t>8 WAY DMX DISTRIBUTOR</t>
        </is>
      </c>
      <c r="C284" s="58" t="inlineStr"/>
      <c r="D284" s="58" t="inlineStr">
        <is>
          <t>SPLITTER DMX</t>
        </is>
      </c>
      <c r="E284" s="58" t="inlineStr"/>
      <c r="F284" s="58" t="inlineStr"/>
      <c r="G284" s="58" t="inlineStr">
        <is>
          <t>DISPONIVEL</t>
        </is>
      </c>
      <c r="H284" s="58" t="inlineStr">
        <is>
          <t>USADO</t>
        </is>
      </c>
      <c r="I284" s="103" t="inlineStr">
        <is>
          <t>★★★☆☆</t>
        </is>
      </c>
      <c r="J284" s="142" t="n">
        <v>1196</v>
      </c>
      <c r="K284" s="143" t="n">
        <v>1196</v>
      </c>
      <c r="L284" s="98">
        <f>IF(J284&gt;0,(J284-K284)/J284,"")</f>
        <v/>
      </c>
      <c r="M284" s="99" t="inlineStr"/>
    </row>
    <row r="285" ht="24" customHeight="1">
      <c r="A285" s="92" t="inlineStr">
        <is>
          <t xml:space="preserve">  STROBO  (6)</t>
        </is>
      </c>
    </row>
    <row r="286" ht="22" customHeight="1">
      <c r="A286" s="54" t="inlineStr">
        <is>
          <t>MMD-ILU-0038</t>
        </is>
      </c>
      <c r="B286" s="79" t="inlineStr">
        <is>
          <t>ST-960PS</t>
        </is>
      </c>
      <c r="C286" s="53" t="inlineStr">
        <is>
          <t>Showtech</t>
        </is>
      </c>
      <c r="D286" s="53" t="inlineStr">
        <is>
          <t>STROBO</t>
        </is>
      </c>
      <c r="E286" s="53" t="inlineStr"/>
      <c r="F286" s="53" t="inlineStr"/>
      <c r="G286" s="53" t="inlineStr">
        <is>
          <t>DISPONIVEL</t>
        </is>
      </c>
      <c r="H286" s="53" t="inlineStr">
        <is>
          <t>USADO</t>
        </is>
      </c>
      <c r="I286" s="95" t="inlineStr">
        <is>
          <t>★★☆☆☆</t>
        </is>
      </c>
      <c r="J286" s="141" t="n">
        <v>590</v>
      </c>
      <c r="K286" s="143" t="n">
        <v>419</v>
      </c>
      <c r="L286" s="101">
        <f>IF(J286&gt;0,(J286-K286)/J286,"")</f>
        <v/>
      </c>
      <c r="M286" s="102" t="inlineStr"/>
    </row>
    <row r="287" ht="22" customHeight="1">
      <c r="A287" s="94" t="inlineStr">
        <is>
          <t>MMD-ILU-0041</t>
        </is>
      </c>
      <c r="B287" s="75" t="inlineStr">
        <is>
          <t>ST-960PS</t>
        </is>
      </c>
      <c r="C287" s="58" t="inlineStr">
        <is>
          <t>Showtech</t>
        </is>
      </c>
      <c r="D287" s="58" t="inlineStr">
        <is>
          <t>STROBO</t>
        </is>
      </c>
      <c r="E287" s="58" t="inlineStr"/>
      <c r="F287" s="58" t="inlineStr"/>
      <c r="G287" s="58" t="inlineStr">
        <is>
          <t>DISPONIVEL</t>
        </is>
      </c>
      <c r="H287" s="58" t="inlineStr">
        <is>
          <t>USADO</t>
        </is>
      </c>
      <c r="I287" s="95" t="inlineStr">
        <is>
          <t>★★☆☆☆</t>
        </is>
      </c>
      <c r="J287" s="142" t="n">
        <v>590</v>
      </c>
      <c r="K287" s="143" t="n">
        <v>419</v>
      </c>
      <c r="L287" s="98">
        <f>IF(J287&gt;0,(J287-K287)/J287,"")</f>
        <v/>
      </c>
      <c r="M287" s="99" t="inlineStr"/>
    </row>
    <row r="288" ht="22" customHeight="1">
      <c r="A288" s="54" t="inlineStr">
        <is>
          <t>MMD-ILU-0042</t>
        </is>
      </c>
      <c r="B288" s="79" t="inlineStr">
        <is>
          <t>ST-960PS</t>
        </is>
      </c>
      <c r="C288" s="53" t="inlineStr">
        <is>
          <t>Showtech</t>
        </is>
      </c>
      <c r="D288" s="53" t="inlineStr">
        <is>
          <t>STROBO</t>
        </is>
      </c>
      <c r="E288" s="53" t="inlineStr"/>
      <c r="F288" s="53" t="inlineStr"/>
      <c r="G288" s="53" t="inlineStr">
        <is>
          <t>DISPONIVEL</t>
        </is>
      </c>
      <c r="H288" s="53" t="inlineStr">
        <is>
          <t>USADO</t>
        </is>
      </c>
      <c r="I288" s="95" t="inlineStr">
        <is>
          <t>★★☆☆☆</t>
        </is>
      </c>
      <c r="J288" s="141" t="n">
        <v>590</v>
      </c>
      <c r="K288" s="143" t="n">
        <v>419</v>
      </c>
      <c r="L288" s="101">
        <f>IF(J288&gt;0,(J288-K288)/J288,"")</f>
        <v/>
      </c>
      <c r="M288" s="102" t="inlineStr"/>
    </row>
    <row r="289" ht="22" customHeight="1">
      <c r="A289" s="94" t="inlineStr">
        <is>
          <t>MMD-ILU-0043</t>
        </is>
      </c>
      <c r="B289" s="75" t="inlineStr">
        <is>
          <t>ST-960PS</t>
        </is>
      </c>
      <c r="C289" s="58" t="inlineStr">
        <is>
          <t>Showtech</t>
        </is>
      </c>
      <c r="D289" s="58" t="inlineStr">
        <is>
          <t>STROBO</t>
        </is>
      </c>
      <c r="E289" s="58" t="inlineStr"/>
      <c r="F289" s="58" t="inlineStr"/>
      <c r="G289" s="58" t="inlineStr">
        <is>
          <t>DISPONIVEL</t>
        </is>
      </c>
      <c r="H289" s="58" t="inlineStr">
        <is>
          <t>USADO</t>
        </is>
      </c>
      <c r="I289" s="95" t="inlineStr">
        <is>
          <t>★★☆☆☆</t>
        </is>
      </c>
      <c r="J289" s="142" t="n">
        <v>590</v>
      </c>
      <c r="K289" s="143" t="n">
        <v>419</v>
      </c>
      <c r="L289" s="98">
        <f>IF(J289&gt;0,(J289-K289)/J289,"")</f>
        <v/>
      </c>
      <c r="M289" s="99" t="inlineStr"/>
    </row>
    <row r="290" ht="22" customHeight="1">
      <c r="A290" s="54" t="inlineStr">
        <is>
          <t>MMD-ILU-0044</t>
        </is>
      </c>
      <c r="B290" s="79" t="inlineStr">
        <is>
          <t>ST-960PS</t>
        </is>
      </c>
      <c r="C290" s="53" t="inlineStr">
        <is>
          <t>Showtech</t>
        </is>
      </c>
      <c r="D290" s="53" t="inlineStr">
        <is>
          <t>STROBO</t>
        </is>
      </c>
      <c r="E290" s="53" t="inlineStr"/>
      <c r="F290" s="53" t="inlineStr"/>
      <c r="G290" s="53" t="inlineStr">
        <is>
          <t>DISPONIVEL</t>
        </is>
      </c>
      <c r="H290" s="53" t="inlineStr">
        <is>
          <t>USADO</t>
        </is>
      </c>
      <c r="I290" s="95" t="inlineStr">
        <is>
          <t>★★☆☆☆</t>
        </is>
      </c>
      <c r="J290" s="141" t="n">
        <v>590</v>
      </c>
      <c r="K290" s="143" t="n">
        <v>419</v>
      </c>
      <c r="L290" s="101">
        <f>IF(J290&gt;0,(J290-K290)/J290,"")</f>
        <v/>
      </c>
      <c r="M290" s="102" t="inlineStr"/>
    </row>
    <row r="291" ht="22" customHeight="1">
      <c r="A291" s="94" t="inlineStr">
        <is>
          <t>MMD-ILU-0045</t>
        </is>
      </c>
      <c r="B291" s="75" t="inlineStr">
        <is>
          <t>ST-960PS</t>
        </is>
      </c>
      <c r="C291" s="58" t="inlineStr">
        <is>
          <t>Showtech</t>
        </is>
      </c>
      <c r="D291" s="58" t="inlineStr">
        <is>
          <t>STROBO</t>
        </is>
      </c>
      <c r="E291" s="58" t="inlineStr"/>
      <c r="F291" s="58" t="inlineStr"/>
      <c r="G291" s="58" t="inlineStr">
        <is>
          <t>DISPONIVEL</t>
        </is>
      </c>
      <c r="H291" s="58" t="inlineStr">
        <is>
          <t>USADO</t>
        </is>
      </c>
      <c r="I291" s="95" t="inlineStr">
        <is>
          <t>★★☆☆☆</t>
        </is>
      </c>
      <c r="J291" s="142" t="n">
        <v>590</v>
      </c>
      <c r="K291" s="143" t="n">
        <v>419</v>
      </c>
      <c r="L291" s="98">
        <f>IF(J291&gt;0,(J291-K291)/J291,"")</f>
        <v/>
      </c>
      <c r="M291" s="99" t="inlineStr"/>
    </row>
    <row r="292" ht="24" customHeight="1">
      <c r="A292" s="92" t="inlineStr">
        <is>
          <t xml:space="preserve">  VERDE  (1)</t>
        </is>
      </c>
    </row>
    <row r="293" ht="22" customHeight="1">
      <c r="A293" s="54" t="inlineStr">
        <is>
          <t>MMD-ILU-0241</t>
        </is>
      </c>
      <c r="B293" s="79" t="inlineStr">
        <is>
          <t>AWA LIGHT DJ LASER 100MW VERDE</t>
        </is>
      </c>
      <c r="C293" s="53" t="inlineStr"/>
      <c r="D293" s="53" t="inlineStr">
        <is>
          <t>VERDE</t>
        </is>
      </c>
      <c r="E293" s="53" t="inlineStr"/>
      <c r="F293" s="53" t="inlineStr"/>
      <c r="G293" s="53" t="inlineStr">
        <is>
          <t>DISPONIVEL</t>
        </is>
      </c>
      <c r="H293" s="53" t="inlineStr">
        <is>
          <t>USADO</t>
        </is>
      </c>
      <c r="I293" s="95" t="inlineStr">
        <is>
          <t>★★☆☆☆</t>
        </is>
      </c>
      <c r="J293" s="141" t="n">
        <v>799</v>
      </c>
      <c r="K293" s="143" t="n">
        <v>449</v>
      </c>
      <c r="L293" s="101">
        <f>IF(J293&gt;0,(J293-K293)/J293,"")</f>
        <v/>
      </c>
      <c r="M293" s="102" t="inlineStr"/>
    </row>
    <row r="294"/>
    <row r="295" ht="26" customHeight="1">
      <c r="A295" s="104" t="inlineStr">
        <is>
          <t xml:space="preserve">  TOTAL: 270 itens</t>
        </is>
      </c>
      <c r="B295" s="144" t="n"/>
      <c r="C295" s="144" t="n"/>
      <c r="D295" s="144" t="n"/>
      <c r="E295" s="144" t="n"/>
      <c r="F295" s="145" t="n"/>
      <c r="G295" s="105" t="n"/>
      <c r="H295" s="105" t="n"/>
      <c r="I295" s="105" t="n"/>
      <c r="J295" s="106" t="n">
        <v>267650.99</v>
      </c>
      <c r="K295" s="105" t="n"/>
      <c r="L295" s="105" t="n"/>
      <c r="M295" s="105" t="n"/>
    </row>
    <row r="296"/>
    <row r="297" ht="18" customHeight="1">
      <c r="A297" s="34" t="inlineStr">
        <is>
          <t>MMD Eventos  |  Inventario Inteligente  |  03/04/2026</t>
        </is>
      </c>
    </row>
  </sheetData>
  <autoFilter ref="A4:M4"/>
  <mergeCells count="23">
    <mergeCell ref="A278:M278"/>
    <mergeCell ref="A5:M5"/>
    <mergeCell ref="A23:M23"/>
    <mergeCell ref="A32:M32"/>
    <mergeCell ref="A171:M171"/>
    <mergeCell ref="A156:M156"/>
    <mergeCell ref="A30:M30"/>
    <mergeCell ref="A1:M1"/>
    <mergeCell ref="A281:M281"/>
    <mergeCell ref="A70:M70"/>
    <mergeCell ref="A146:M146"/>
    <mergeCell ref="A295:F295"/>
    <mergeCell ref="A196:M196"/>
    <mergeCell ref="A25:M25"/>
    <mergeCell ref="A292:M292"/>
    <mergeCell ref="A164:M164"/>
    <mergeCell ref="A273:M273"/>
    <mergeCell ref="A27:M27"/>
    <mergeCell ref="A158:M158"/>
    <mergeCell ref="A12:M12"/>
    <mergeCell ref="A285:M285"/>
    <mergeCell ref="A297:M297"/>
    <mergeCell ref="A2:M2"/>
  </mergeCells>
  <conditionalFormatting sqref="G5:G497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497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497">
    <cfRule type="expression" priority="12" dxfId="10">
      <formula>I5="★★★★★"</formula>
    </cfRule>
    <cfRule type="expression" priority="13" dxfId="11">
      <formula>I5="★★★★☆"</formula>
    </cfRule>
    <cfRule type="expression" priority="14" dxfId="12">
      <formula>I5="★★★☆☆"</formula>
    </cfRule>
    <cfRule type="expression" priority="15" dxfId="13">
      <formula>I5="★★☆☆☆"</formula>
    </cfRule>
    <cfRule type="expression" priority="16" dxfId="14">
      <formula>I5="★☆☆☆☆"</formula>
    </cfRule>
  </conditionalFormatting>
  <conditionalFormatting sqref="L5:L497">
    <cfRule type="cellIs" priority="17" operator="lessThan" dxfId="0">
      <formula>0.2</formula>
    </cfRule>
    <cfRule type="cellIs" priority="18" operator="between" dxfId="2">
      <formula>0.2</formula>
      <formula>0.4</formula>
    </cfRule>
    <cfRule type="cellIs" priority="19" operator="between" dxfId="15">
      <formula>0.4</formula>
      <formula>0.6</formula>
    </cfRule>
    <cfRule type="cellIs" priority="20" operator="greaterThanOrEqual" dxfId="16">
      <formula>0.6</formula>
    </cfRule>
  </conditionalFormatting>
  <dataValidations count="3">
    <dataValidation sqref="G5:G497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497" showDropDown="0" showInputMessage="0" showErrorMessage="0" allowBlank="1" type="list">
      <formula1>"NOVO,SEMI_NOVO,USADO,RECONDICIONADO"</formula1>
    </dataValidation>
    <dataValidation sqref="I5:I497" showDropDown="0" showInputMessage="0" showErrorMessage="0" allowBlank="1" type="list">
      <formula1>"★☆☆☆☆,★★☆☆☆,★★★☆☆,★★★★☆,★★★★★"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4" r:id="rId17"/>
    <hyperlink xmlns:r="http://schemas.openxmlformats.org/officeDocument/2006/relationships" ref="A26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1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1" r:id="rId59"/>
    <hyperlink xmlns:r="http://schemas.openxmlformats.org/officeDocument/2006/relationships" ref="A72" r:id="rId60"/>
    <hyperlink xmlns:r="http://schemas.openxmlformats.org/officeDocument/2006/relationships" ref="A73" r:id="rId61"/>
    <hyperlink xmlns:r="http://schemas.openxmlformats.org/officeDocument/2006/relationships" ref="A74" r:id="rId62"/>
    <hyperlink xmlns:r="http://schemas.openxmlformats.org/officeDocument/2006/relationships" ref="A75" r:id="rId63"/>
    <hyperlink xmlns:r="http://schemas.openxmlformats.org/officeDocument/2006/relationships" ref="A76" r:id="rId64"/>
    <hyperlink xmlns:r="http://schemas.openxmlformats.org/officeDocument/2006/relationships" ref="A77" r:id="rId65"/>
    <hyperlink xmlns:r="http://schemas.openxmlformats.org/officeDocument/2006/relationships" ref="A78" r:id="rId66"/>
    <hyperlink xmlns:r="http://schemas.openxmlformats.org/officeDocument/2006/relationships" ref="A79" r:id="rId67"/>
    <hyperlink xmlns:r="http://schemas.openxmlformats.org/officeDocument/2006/relationships" ref="A80" r:id="rId68"/>
    <hyperlink xmlns:r="http://schemas.openxmlformats.org/officeDocument/2006/relationships" ref="A81" r:id="rId69"/>
    <hyperlink xmlns:r="http://schemas.openxmlformats.org/officeDocument/2006/relationships" ref="A82" r:id="rId70"/>
    <hyperlink xmlns:r="http://schemas.openxmlformats.org/officeDocument/2006/relationships" ref="A83" r:id="rId71"/>
    <hyperlink xmlns:r="http://schemas.openxmlformats.org/officeDocument/2006/relationships" ref="A84" r:id="rId72"/>
    <hyperlink xmlns:r="http://schemas.openxmlformats.org/officeDocument/2006/relationships" ref="A85" r:id="rId73"/>
    <hyperlink xmlns:r="http://schemas.openxmlformats.org/officeDocument/2006/relationships" ref="A86" r:id="rId74"/>
    <hyperlink xmlns:r="http://schemas.openxmlformats.org/officeDocument/2006/relationships" ref="A87" r:id="rId75"/>
    <hyperlink xmlns:r="http://schemas.openxmlformats.org/officeDocument/2006/relationships" ref="A88" r:id="rId76"/>
    <hyperlink xmlns:r="http://schemas.openxmlformats.org/officeDocument/2006/relationships" ref="A89" r:id="rId77"/>
    <hyperlink xmlns:r="http://schemas.openxmlformats.org/officeDocument/2006/relationships" ref="A90" r:id="rId78"/>
    <hyperlink xmlns:r="http://schemas.openxmlformats.org/officeDocument/2006/relationships" ref="A91" r:id="rId79"/>
    <hyperlink xmlns:r="http://schemas.openxmlformats.org/officeDocument/2006/relationships" ref="A92" r:id="rId80"/>
    <hyperlink xmlns:r="http://schemas.openxmlformats.org/officeDocument/2006/relationships" ref="A93" r:id="rId81"/>
    <hyperlink xmlns:r="http://schemas.openxmlformats.org/officeDocument/2006/relationships" ref="A94" r:id="rId82"/>
    <hyperlink xmlns:r="http://schemas.openxmlformats.org/officeDocument/2006/relationships" ref="A95" r:id="rId83"/>
    <hyperlink xmlns:r="http://schemas.openxmlformats.org/officeDocument/2006/relationships" ref="A96" r:id="rId84"/>
    <hyperlink xmlns:r="http://schemas.openxmlformats.org/officeDocument/2006/relationships" ref="A97" r:id="rId85"/>
    <hyperlink xmlns:r="http://schemas.openxmlformats.org/officeDocument/2006/relationships" ref="A98" r:id="rId86"/>
    <hyperlink xmlns:r="http://schemas.openxmlformats.org/officeDocument/2006/relationships" ref="A99" r:id="rId87"/>
    <hyperlink xmlns:r="http://schemas.openxmlformats.org/officeDocument/2006/relationships" ref="A100" r:id="rId88"/>
    <hyperlink xmlns:r="http://schemas.openxmlformats.org/officeDocument/2006/relationships" ref="A101" r:id="rId89"/>
    <hyperlink xmlns:r="http://schemas.openxmlformats.org/officeDocument/2006/relationships" ref="A102" r:id="rId90"/>
    <hyperlink xmlns:r="http://schemas.openxmlformats.org/officeDocument/2006/relationships" ref="A103" r:id="rId91"/>
    <hyperlink xmlns:r="http://schemas.openxmlformats.org/officeDocument/2006/relationships" ref="A104" r:id="rId92"/>
    <hyperlink xmlns:r="http://schemas.openxmlformats.org/officeDocument/2006/relationships" ref="A105" r:id="rId93"/>
    <hyperlink xmlns:r="http://schemas.openxmlformats.org/officeDocument/2006/relationships" ref="A106" r:id="rId94"/>
    <hyperlink xmlns:r="http://schemas.openxmlformats.org/officeDocument/2006/relationships" ref="A107" r:id="rId95"/>
    <hyperlink xmlns:r="http://schemas.openxmlformats.org/officeDocument/2006/relationships" ref="A108" r:id="rId96"/>
    <hyperlink xmlns:r="http://schemas.openxmlformats.org/officeDocument/2006/relationships" ref="A109" r:id="rId97"/>
    <hyperlink xmlns:r="http://schemas.openxmlformats.org/officeDocument/2006/relationships" ref="A110" r:id="rId98"/>
    <hyperlink xmlns:r="http://schemas.openxmlformats.org/officeDocument/2006/relationships" ref="A111" r:id="rId99"/>
    <hyperlink xmlns:r="http://schemas.openxmlformats.org/officeDocument/2006/relationships" ref="A112" r:id="rId100"/>
    <hyperlink xmlns:r="http://schemas.openxmlformats.org/officeDocument/2006/relationships" ref="A113" r:id="rId101"/>
    <hyperlink xmlns:r="http://schemas.openxmlformats.org/officeDocument/2006/relationships" ref="A114" r:id="rId102"/>
    <hyperlink xmlns:r="http://schemas.openxmlformats.org/officeDocument/2006/relationships" ref="A115" r:id="rId103"/>
    <hyperlink xmlns:r="http://schemas.openxmlformats.org/officeDocument/2006/relationships" ref="A116" r:id="rId104"/>
    <hyperlink xmlns:r="http://schemas.openxmlformats.org/officeDocument/2006/relationships" ref="A117" r:id="rId105"/>
    <hyperlink xmlns:r="http://schemas.openxmlformats.org/officeDocument/2006/relationships" ref="A118" r:id="rId106"/>
    <hyperlink xmlns:r="http://schemas.openxmlformats.org/officeDocument/2006/relationships" ref="A119" r:id="rId107"/>
    <hyperlink xmlns:r="http://schemas.openxmlformats.org/officeDocument/2006/relationships" ref="A120" r:id="rId108"/>
    <hyperlink xmlns:r="http://schemas.openxmlformats.org/officeDocument/2006/relationships" ref="A121" r:id="rId109"/>
    <hyperlink xmlns:r="http://schemas.openxmlformats.org/officeDocument/2006/relationships" ref="A122" r:id="rId110"/>
    <hyperlink xmlns:r="http://schemas.openxmlformats.org/officeDocument/2006/relationships" ref="A123" r:id="rId111"/>
    <hyperlink xmlns:r="http://schemas.openxmlformats.org/officeDocument/2006/relationships" ref="A124" r:id="rId112"/>
    <hyperlink xmlns:r="http://schemas.openxmlformats.org/officeDocument/2006/relationships" ref="A125" r:id="rId113"/>
    <hyperlink xmlns:r="http://schemas.openxmlformats.org/officeDocument/2006/relationships" ref="A126" r:id="rId114"/>
    <hyperlink xmlns:r="http://schemas.openxmlformats.org/officeDocument/2006/relationships" ref="A127" r:id="rId115"/>
    <hyperlink xmlns:r="http://schemas.openxmlformats.org/officeDocument/2006/relationships" ref="A128" r:id="rId116"/>
    <hyperlink xmlns:r="http://schemas.openxmlformats.org/officeDocument/2006/relationships" ref="A129" r:id="rId117"/>
    <hyperlink xmlns:r="http://schemas.openxmlformats.org/officeDocument/2006/relationships" ref="A130" r:id="rId118"/>
    <hyperlink xmlns:r="http://schemas.openxmlformats.org/officeDocument/2006/relationships" ref="A131" r:id="rId119"/>
    <hyperlink xmlns:r="http://schemas.openxmlformats.org/officeDocument/2006/relationships" ref="A132" r:id="rId120"/>
    <hyperlink xmlns:r="http://schemas.openxmlformats.org/officeDocument/2006/relationships" ref="A133" r:id="rId121"/>
    <hyperlink xmlns:r="http://schemas.openxmlformats.org/officeDocument/2006/relationships" ref="A134" r:id="rId122"/>
    <hyperlink xmlns:r="http://schemas.openxmlformats.org/officeDocument/2006/relationships" ref="A135" r:id="rId123"/>
    <hyperlink xmlns:r="http://schemas.openxmlformats.org/officeDocument/2006/relationships" ref="A136" r:id="rId124"/>
    <hyperlink xmlns:r="http://schemas.openxmlformats.org/officeDocument/2006/relationships" ref="A137" r:id="rId125"/>
    <hyperlink xmlns:r="http://schemas.openxmlformats.org/officeDocument/2006/relationships" ref="A138" r:id="rId126"/>
    <hyperlink xmlns:r="http://schemas.openxmlformats.org/officeDocument/2006/relationships" ref="A139" r:id="rId127"/>
    <hyperlink xmlns:r="http://schemas.openxmlformats.org/officeDocument/2006/relationships" ref="A140" r:id="rId128"/>
    <hyperlink xmlns:r="http://schemas.openxmlformats.org/officeDocument/2006/relationships" ref="A141" r:id="rId129"/>
    <hyperlink xmlns:r="http://schemas.openxmlformats.org/officeDocument/2006/relationships" ref="A142" r:id="rId130"/>
    <hyperlink xmlns:r="http://schemas.openxmlformats.org/officeDocument/2006/relationships" ref="A143" r:id="rId131"/>
    <hyperlink xmlns:r="http://schemas.openxmlformats.org/officeDocument/2006/relationships" ref="A144" r:id="rId132"/>
    <hyperlink xmlns:r="http://schemas.openxmlformats.org/officeDocument/2006/relationships" ref="A145" r:id="rId133"/>
    <hyperlink xmlns:r="http://schemas.openxmlformats.org/officeDocument/2006/relationships" ref="A147" r:id="rId134"/>
    <hyperlink xmlns:r="http://schemas.openxmlformats.org/officeDocument/2006/relationships" ref="A148" r:id="rId135"/>
    <hyperlink xmlns:r="http://schemas.openxmlformats.org/officeDocument/2006/relationships" ref="A149" r:id="rId136"/>
    <hyperlink xmlns:r="http://schemas.openxmlformats.org/officeDocument/2006/relationships" ref="A150" r:id="rId137"/>
    <hyperlink xmlns:r="http://schemas.openxmlformats.org/officeDocument/2006/relationships" ref="A151" r:id="rId138"/>
    <hyperlink xmlns:r="http://schemas.openxmlformats.org/officeDocument/2006/relationships" ref="A152" r:id="rId139"/>
    <hyperlink xmlns:r="http://schemas.openxmlformats.org/officeDocument/2006/relationships" ref="A153" r:id="rId140"/>
    <hyperlink xmlns:r="http://schemas.openxmlformats.org/officeDocument/2006/relationships" ref="A154" r:id="rId141"/>
    <hyperlink xmlns:r="http://schemas.openxmlformats.org/officeDocument/2006/relationships" ref="A155" r:id="rId142"/>
    <hyperlink xmlns:r="http://schemas.openxmlformats.org/officeDocument/2006/relationships" ref="A157" r:id="rId143"/>
    <hyperlink xmlns:r="http://schemas.openxmlformats.org/officeDocument/2006/relationships" ref="A159" r:id="rId144"/>
    <hyperlink xmlns:r="http://schemas.openxmlformats.org/officeDocument/2006/relationships" ref="A160" r:id="rId145"/>
    <hyperlink xmlns:r="http://schemas.openxmlformats.org/officeDocument/2006/relationships" ref="A161" r:id="rId146"/>
    <hyperlink xmlns:r="http://schemas.openxmlformats.org/officeDocument/2006/relationships" ref="A162" r:id="rId147"/>
    <hyperlink xmlns:r="http://schemas.openxmlformats.org/officeDocument/2006/relationships" ref="A163" r:id="rId148"/>
    <hyperlink xmlns:r="http://schemas.openxmlformats.org/officeDocument/2006/relationships" ref="A165" r:id="rId149"/>
    <hyperlink xmlns:r="http://schemas.openxmlformats.org/officeDocument/2006/relationships" ref="A166" r:id="rId150"/>
    <hyperlink xmlns:r="http://schemas.openxmlformats.org/officeDocument/2006/relationships" ref="A167" r:id="rId151"/>
    <hyperlink xmlns:r="http://schemas.openxmlformats.org/officeDocument/2006/relationships" ref="A168" r:id="rId152"/>
    <hyperlink xmlns:r="http://schemas.openxmlformats.org/officeDocument/2006/relationships" ref="A169" r:id="rId153"/>
    <hyperlink xmlns:r="http://schemas.openxmlformats.org/officeDocument/2006/relationships" ref="A170" r:id="rId154"/>
    <hyperlink xmlns:r="http://schemas.openxmlformats.org/officeDocument/2006/relationships" ref="A172" r:id="rId155"/>
    <hyperlink xmlns:r="http://schemas.openxmlformats.org/officeDocument/2006/relationships" ref="A173" r:id="rId156"/>
    <hyperlink xmlns:r="http://schemas.openxmlformats.org/officeDocument/2006/relationships" ref="A174" r:id="rId157"/>
    <hyperlink xmlns:r="http://schemas.openxmlformats.org/officeDocument/2006/relationships" ref="A175" r:id="rId158"/>
    <hyperlink xmlns:r="http://schemas.openxmlformats.org/officeDocument/2006/relationships" ref="A176" r:id="rId159"/>
    <hyperlink xmlns:r="http://schemas.openxmlformats.org/officeDocument/2006/relationships" ref="A177" r:id="rId160"/>
    <hyperlink xmlns:r="http://schemas.openxmlformats.org/officeDocument/2006/relationships" ref="A178" r:id="rId161"/>
    <hyperlink xmlns:r="http://schemas.openxmlformats.org/officeDocument/2006/relationships" ref="A179" r:id="rId162"/>
    <hyperlink xmlns:r="http://schemas.openxmlformats.org/officeDocument/2006/relationships" ref="A180" r:id="rId163"/>
    <hyperlink xmlns:r="http://schemas.openxmlformats.org/officeDocument/2006/relationships" ref="A181" r:id="rId164"/>
    <hyperlink xmlns:r="http://schemas.openxmlformats.org/officeDocument/2006/relationships" ref="A182" r:id="rId165"/>
    <hyperlink xmlns:r="http://schemas.openxmlformats.org/officeDocument/2006/relationships" ref="A183" r:id="rId166"/>
    <hyperlink xmlns:r="http://schemas.openxmlformats.org/officeDocument/2006/relationships" ref="A184" r:id="rId167"/>
    <hyperlink xmlns:r="http://schemas.openxmlformats.org/officeDocument/2006/relationships" ref="A185" r:id="rId168"/>
    <hyperlink xmlns:r="http://schemas.openxmlformats.org/officeDocument/2006/relationships" ref="A186" r:id="rId169"/>
    <hyperlink xmlns:r="http://schemas.openxmlformats.org/officeDocument/2006/relationships" ref="A187" r:id="rId170"/>
    <hyperlink xmlns:r="http://schemas.openxmlformats.org/officeDocument/2006/relationships" ref="A188" r:id="rId171"/>
    <hyperlink xmlns:r="http://schemas.openxmlformats.org/officeDocument/2006/relationships" ref="A189" r:id="rId172"/>
    <hyperlink xmlns:r="http://schemas.openxmlformats.org/officeDocument/2006/relationships" ref="A190" r:id="rId173"/>
    <hyperlink xmlns:r="http://schemas.openxmlformats.org/officeDocument/2006/relationships" ref="A191" r:id="rId174"/>
    <hyperlink xmlns:r="http://schemas.openxmlformats.org/officeDocument/2006/relationships" ref="A192" r:id="rId175"/>
    <hyperlink xmlns:r="http://schemas.openxmlformats.org/officeDocument/2006/relationships" ref="A193" r:id="rId176"/>
    <hyperlink xmlns:r="http://schemas.openxmlformats.org/officeDocument/2006/relationships" ref="A194" r:id="rId177"/>
    <hyperlink xmlns:r="http://schemas.openxmlformats.org/officeDocument/2006/relationships" ref="A195" r:id="rId178"/>
    <hyperlink xmlns:r="http://schemas.openxmlformats.org/officeDocument/2006/relationships" ref="A197" r:id="rId179"/>
    <hyperlink xmlns:r="http://schemas.openxmlformats.org/officeDocument/2006/relationships" ref="A198" r:id="rId180"/>
    <hyperlink xmlns:r="http://schemas.openxmlformats.org/officeDocument/2006/relationships" ref="A199" r:id="rId181"/>
    <hyperlink xmlns:r="http://schemas.openxmlformats.org/officeDocument/2006/relationships" ref="A200" r:id="rId182"/>
    <hyperlink xmlns:r="http://schemas.openxmlformats.org/officeDocument/2006/relationships" ref="A201" r:id="rId183"/>
    <hyperlink xmlns:r="http://schemas.openxmlformats.org/officeDocument/2006/relationships" ref="A202" r:id="rId184"/>
    <hyperlink xmlns:r="http://schemas.openxmlformats.org/officeDocument/2006/relationships" ref="A203" r:id="rId185"/>
    <hyperlink xmlns:r="http://schemas.openxmlformats.org/officeDocument/2006/relationships" ref="A204" r:id="rId186"/>
    <hyperlink xmlns:r="http://schemas.openxmlformats.org/officeDocument/2006/relationships" ref="A205" r:id="rId187"/>
    <hyperlink xmlns:r="http://schemas.openxmlformats.org/officeDocument/2006/relationships" ref="A206" r:id="rId188"/>
    <hyperlink xmlns:r="http://schemas.openxmlformats.org/officeDocument/2006/relationships" ref="A207" r:id="rId189"/>
    <hyperlink xmlns:r="http://schemas.openxmlformats.org/officeDocument/2006/relationships" ref="A208" r:id="rId190"/>
    <hyperlink xmlns:r="http://schemas.openxmlformats.org/officeDocument/2006/relationships" ref="A209" r:id="rId191"/>
    <hyperlink xmlns:r="http://schemas.openxmlformats.org/officeDocument/2006/relationships" ref="A210" r:id="rId192"/>
    <hyperlink xmlns:r="http://schemas.openxmlformats.org/officeDocument/2006/relationships" ref="A211" r:id="rId193"/>
    <hyperlink xmlns:r="http://schemas.openxmlformats.org/officeDocument/2006/relationships" ref="A212" r:id="rId194"/>
    <hyperlink xmlns:r="http://schemas.openxmlformats.org/officeDocument/2006/relationships" ref="A213" r:id="rId195"/>
    <hyperlink xmlns:r="http://schemas.openxmlformats.org/officeDocument/2006/relationships" ref="A214" r:id="rId196"/>
    <hyperlink xmlns:r="http://schemas.openxmlformats.org/officeDocument/2006/relationships" ref="A215" r:id="rId197"/>
    <hyperlink xmlns:r="http://schemas.openxmlformats.org/officeDocument/2006/relationships" ref="A216" r:id="rId198"/>
    <hyperlink xmlns:r="http://schemas.openxmlformats.org/officeDocument/2006/relationships" ref="A217" r:id="rId199"/>
    <hyperlink xmlns:r="http://schemas.openxmlformats.org/officeDocument/2006/relationships" ref="A218" r:id="rId200"/>
    <hyperlink xmlns:r="http://schemas.openxmlformats.org/officeDocument/2006/relationships" ref="A219" r:id="rId201"/>
    <hyperlink xmlns:r="http://schemas.openxmlformats.org/officeDocument/2006/relationships" ref="A220" r:id="rId202"/>
    <hyperlink xmlns:r="http://schemas.openxmlformats.org/officeDocument/2006/relationships" ref="A221" r:id="rId203"/>
    <hyperlink xmlns:r="http://schemas.openxmlformats.org/officeDocument/2006/relationships" ref="A222" r:id="rId204"/>
    <hyperlink xmlns:r="http://schemas.openxmlformats.org/officeDocument/2006/relationships" ref="A223" r:id="rId205"/>
    <hyperlink xmlns:r="http://schemas.openxmlformats.org/officeDocument/2006/relationships" ref="A224" r:id="rId206"/>
    <hyperlink xmlns:r="http://schemas.openxmlformats.org/officeDocument/2006/relationships" ref="A225" r:id="rId207"/>
    <hyperlink xmlns:r="http://schemas.openxmlformats.org/officeDocument/2006/relationships" ref="A226" r:id="rId208"/>
    <hyperlink xmlns:r="http://schemas.openxmlformats.org/officeDocument/2006/relationships" ref="A227" r:id="rId209"/>
    <hyperlink xmlns:r="http://schemas.openxmlformats.org/officeDocument/2006/relationships" ref="A228" r:id="rId210"/>
    <hyperlink xmlns:r="http://schemas.openxmlformats.org/officeDocument/2006/relationships" ref="A229" r:id="rId211"/>
    <hyperlink xmlns:r="http://schemas.openxmlformats.org/officeDocument/2006/relationships" ref="A230" r:id="rId212"/>
    <hyperlink xmlns:r="http://schemas.openxmlformats.org/officeDocument/2006/relationships" ref="A231" r:id="rId213"/>
    <hyperlink xmlns:r="http://schemas.openxmlformats.org/officeDocument/2006/relationships" ref="A232" r:id="rId214"/>
    <hyperlink xmlns:r="http://schemas.openxmlformats.org/officeDocument/2006/relationships" ref="A233" r:id="rId215"/>
    <hyperlink xmlns:r="http://schemas.openxmlformats.org/officeDocument/2006/relationships" ref="A234" r:id="rId216"/>
    <hyperlink xmlns:r="http://schemas.openxmlformats.org/officeDocument/2006/relationships" ref="A235" r:id="rId217"/>
    <hyperlink xmlns:r="http://schemas.openxmlformats.org/officeDocument/2006/relationships" ref="A236" r:id="rId218"/>
    <hyperlink xmlns:r="http://schemas.openxmlformats.org/officeDocument/2006/relationships" ref="A237" r:id="rId219"/>
    <hyperlink xmlns:r="http://schemas.openxmlformats.org/officeDocument/2006/relationships" ref="A238" r:id="rId220"/>
    <hyperlink xmlns:r="http://schemas.openxmlformats.org/officeDocument/2006/relationships" ref="A239" r:id="rId221"/>
    <hyperlink xmlns:r="http://schemas.openxmlformats.org/officeDocument/2006/relationships" ref="A240" r:id="rId222"/>
    <hyperlink xmlns:r="http://schemas.openxmlformats.org/officeDocument/2006/relationships" ref="A241" r:id="rId223"/>
    <hyperlink xmlns:r="http://schemas.openxmlformats.org/officeDocument/2006/relationships" ref="A242" r:id="rId224"/>
    <hyperlink xmlns:r="http://schemas.openxmlformats.org/officeDocument/2006/relationships" ref="A243" r:id="rId225"/>
    <hyperlink xmlns:r="http://schemas.openxmlformats.org/officeDocument/2006/relationships" ref="A244" r:id="rId226"/>
    <hyperlink xmlns:r="http://schemas.openxmlformats.org/officeDocument/2006/relationships" ref="A245" r:id="rId227"/>
    <hyperlink xmlns:r="http://schemas.openxmlformats.org/officeDocument/2006/relationships" ref="A246" r:id="rId228"/>
    <hyperlink xmlns:r="http://schemas.openxmlformats.org/officeDocument/2006/relationships" ref="A247" r:id="rId229"/>
    <hyperlink xmlns:r="http://schemas.openxmlformats.org/officeDocument/2006/relationships" ref="A248" r:id="rId230"/>
    <hyperlink xmlns:r="http://schemas.openxmlformats.org/officeDocument/2006/relationships" ref="A249" r:id="rId231"/>
    <hyperlink xmlns:r="http://schemas.openxmlformats.org/officeDocument/2006/relationships" ref="A250" r:id="rId232"/>
    <hyperlink xmlns:r="http://schemas.openxmlformats.org/officeDocument/2006/relationships" ref="A251" r:id="rId233"/>
    <hyperlink xmlns:r="http://schemas.openxmlformats.org/officeDocument/2006/relationships" ref="A252" r:id="rId234"/>
    <hyperlink xmlns:r="http://schemas.openxmlformats.org/officeDocument/2006/relationships" ref="A253" r:id="rId235"/>
    <hyperlink xmlns:r="http://schemas.openxmlformats.org/officeDocument/2006/relationships" ref="A254" r:id="rId236"/>
    <hyperlink xmlns:r="http://schemas.openxmlformats.org/officeDocument/2006/relationships" ref="A255" r:id="rId237"/>
    <hyperlink xmlns:r="http://schemas.openxmlformats.org/officeDocument/2006/relationships" ref="A256" r:id="rId238"/>
    <hyperlink xmlns:r="http://schemas.openxmlformats.org/officeDocument/2006/relationships" ref="A257" r:id="rId239"/>
    <hyperlink xmlns:r="http://schemas.openxmlformats.org/officeDocument/2006/relationships" ref="A258" r:id="rId240"/>
    <hyperlink xmlns:r="http://schemas.openxmlformats.org/officeDocument/2006/relationships" ref="A259" r:id="rId241"/>
    <hyperlink xmlns:r="http://schemas.openxmlformats.org/officeDocument/2006/relationships" ref="A260" r:id="rId242"/>
    <hyperlink xmlns:r="http://schemas.openxmlformats.org/officeDocument/2006/relationships" ref="A261" r:id="rId243"/>
    <hyperlink xmlns:r="http://schemas.openxmlformats.org/officeDocument/2006/relationships" ref="A262" r:id="rId244"/>
    <hyperlink xmlns:r="http://schemas.openxmlformats.org/officeDocument/2006/relationships" ref="A263" r:id="rId245"/>
    <hyperlink xmlns:r="http://schemas.openxmlformats.org/officeDocument/2006/relationships" ref="A264" r:id="rId246"/>
    <hyperlink xmlns:r="http://schemas.openxmlformats.org/officeDocument/2006/relationships" ref="A265" r:id="rId247"/>
    <hyperlink xmlns:r="http://schemas.openxmlformats.org/officeDocument/2006/relationships" ref="A266" r:id="rId248"/>
    <hyperlink xmlns:r="http://schemas.openxmlformats.org/officeDocument/2006/relationships" ref="A267" r:id="rId249"/>
    <hyperlink xmlns:r="http://schemas.openxmlformats.org/officeDocument/2006/relationships" ref="A268" r:id="rId250"/>
    <hyperlink xmlns:r="http://schemas.openxmlformats.org/officeDocument/2006/relationships" ref="A269" r:id="rId251"/>
    <hyperlink xmlns:r="http://schemas.openxmlformats.org/officeDocument/2006/relationships" ref="A270" r:id="rId252"/>
    <hyperlink xmlns:r="http://schemas.openxmlformats.org/officeDocument/2006/relationships" ref="A271" r:id="rId253"/>
    <hyperlink xmlns:r="http://schemas.openxmlformats.org/officeDocument/2006/relationships" ref="A272" r:id="rId254"/>
    <hyperlink xmlns:r="http://schemas.openxmlformats.org/officeDocument/2006/relationships" ref="A274" r:id="rId255"/>
    <hyperlink xmlns:r="http://schemas.openxmlformats.org/officeDocument/2006/relationships" ref="A275" r:id="rId256"/>
    <hyperlink xmlns:r="http://schemas.openxmlformats.org/officeDocument/2006/relationships" ref="A276" r:id="rId257"/>
    <hyperlink xmlns:r="http://schemas.openxmlformats.org/officeDocument/2006/relationships" ref="A277" r:id="rId258"/>
    <hyperlink xmlns:r="http://schemas.openxmlformats.org/officeDocument/2006/relationships" ref="A279" r:id="rId259"/>
    <hyperlink xmlns:r="http://schemas.openxmlformats.org/officeDocument/2006/relationships" ref="A280" r:id="rId260"/>
    <hyperlink xmlns:r="http://schemas.openxmlformats.org/officeDocument/2006/relationships" ref="A282" r:id="rId261"/>
    <hyperlink xmlns:r="http://schemas.openxmlformats.org/officeDocument/2006/relationships" ref="A283" r:id="rId262"/>
    <hyperlink xmlns:r="http://schemas.openxmlformats.org/officeDocument/2006/relationships" ref="A284" r:id="rId263"/>
    <hyperlink xmlns:r="http://schemas.openxmlformats.org/officeDocument/2006/relationships" ref="A286" r:id="rId264"/>
    <hyperlink xmlns:r="http://schemas.openxmlformats.org/officeDocument/2006/relationships" ref="A287" r:id="rId265"/>
    <hyperlink xmlns:r="http://schemas.openxmlformats.org/officeDocument/2006/relationships" ref="A288" r:id="rId266"/>
    <hyperlink xmlns:r="http://schemas.openxmlformats.org/officeDocument/2006/relationships" ref="A289" r:id="rId267"/>
    <hyperlink xmlns:r="http://schemas.openxmlformats.org/officeDocument/2006/relationships" ref="A290" r:id="rId268"/>
    <hyperlink xmlns:r="http://schemas.openxmlformats.org/officeDocument/2006/relationships" ref="A291" r:id="rId269"/>
    <hyperlink xmlns:r="http://schemas.openxmlformats.org/officeDocument/2006/relationships" ref="A293" r:id="rId270"/>
  </hyperlink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M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22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0" customWidth="1" min="12" max="12"/>
    <col width="36" customWidth="1" min="13" max="13"/>
  </cols>
  <sheetData>
    <row r="1" ht="38" customHeight="1">
      <c r="A1" s="107" t="inlineStr">
        <is>
          <t>AUDIO  —  Caixas, Subs, Mesas, Mics, DJs</t>
        </is>
      </c>
    </row>
    <row r="2" ht="22" customHeight="1">
      <c r="A2" s="90" t="inlineStr">
        <is>
          <t>125 itens   |   Valor: R$ 446.936,35   |   Desgaste medio: 3,1/5</t>
        </is>
      </c>
    </row>
    <row r="3" ht="6" customHeight="1"/>
    <row r="4" ht="28" customHeight="1">
      <c r="A4" s="91" t="inlineStr">
        <is>
          <t>Codigo</t>
        </is>
      </c>
      <c r="B4" s="91" t="inlineStr">
        <is>
          <t>Nome</t>
        </is>
      </c>
      <c r="C4" s="91" t="inlineStr">
        <is>
          <t>Marca</t>
        </is>
      </c>
      <c r="D4" s="91" t="inlineStr">
        <is>
          <t>Subcategoria</t>
        </is>
      </c>
      <c r="E4" s="91" t="inlineStr">
        <is>
          <t>Serial Fab.</t>
        </is>
      </c>
      <c r="F4" s="91" t="inlineStr">
        <is>
          <t>Tag RFID</t>
        </is>
      </c>
      <c r="G4" s="91" t="inlineStr">
        <is>
          <t>Status</t>
        </is>
      </c>
      <c r="H4" s="91" t="inlineStr">
        <is>
          <t>Estado</t>
        </is>
      </c>
      <c r="I4" s="91" t="inlineStr">
        <is>
          <t>Desgaste</t>
        </is>
      </c>
      <c r="J4" s="91" t="inlineStr">
        <is>
          <t>Valor Original</t>
        </is>
      </c>
      <c r="K4" s="91" t="inlineStr">
        <is>
          <t>Valor Atual</t>
        </is>
      </c>
      <c r="L4" s="91" t="inlineStr">
        <is>
          <t>Deprec.%</t>
        </is>
      </c>
      <c r="M4" s="91" t="inlineStr">
        <is>
          <t>Notas</t>
        </is>
      </c>
    </row>
    <row r="5" ht="24" customHeight="1">
      <c r="A5" s="108" t="inlineStr">
        <is>
          <t xml:space="preserve">  ACESSORIO  (1)</t>
        </is>
      </c>
    </row>
    <row r="6" ht="22" customHeight="1">
      <c r="A6" s="59" t="inlineStr">
        <is>
          <t>MMD-AUD-0001</t>
        </is>
      </c>
      <c r="B6" s="75" t="inlineStr">
        <is>
          <t>ANTK-CBL-BNC</t>
        </is>
      </c>
      <c r="C6" s="58" t="inlineStr">
        <is>
          <t>Phenyx Pro</t>
        </is>
      </c>
      <c r="D6" s="58" t="inlineStr">
        <is>
          <t>ACESSORIO</t>
        </is>
      </c>
      <c r="E6" s="58" t="inlineStr"/>
      <c r="F6" s="58" t="inlineStr"/>
      <c r="G6" s="58" t="inlineStr">
        <is>
          <t>DISPONIVEL</t>
        </is>
      </c>
      <c r="H6" s="58" t="inlineStr">
        <is>
          <t>USADO</t>
        </is>
      </c>
      <c r="I6" s="103" t="inlineStr">
        <is>
          <t>★★★☆☆</t>
        </is>
      </c>
      <c r="J6" s="142" t="n">
        <v>131.61</v>
      </c>
      <c r="K6" s="143" t="n">
        <v>131.61</v>
      </c>
      <c r="L6" s="98">
        <f>IF(J6&gt;0,(J6-K6)/J6,"")</f>
        <v/>
      </c>
      <c r="M6" s="99" t="inlineStr"/>
    </row>
    <row r="7" ht="24" customHeight="1">
      <c r="A7" s="108" t="inlineStr">
        <is>
          <t xml:space="preserve">  AMP  (4)</t>
        </is>
      </c>
    </row>
    <row r="8" ht="36" customHeight="1">
      <c r="A8" s="110" t="inlineStr">
        <is>
          <t>MMD-AUD-0002</t>
        </is>
      </c>
      <c r="B8" s="79" t="inlineStr">
        <is>
          <t>INUKE MODEL NU3000</t>
        </is>
      </c>
      <c r="C8" s="53" t="inlineStr">
        <is>
          <t>Behringer</t>
        </is>
      </c>
      <c r="D8" s="53" t="inlineStr">
        <is>
          <t>AMP</t>
        </is>
      </c>
      <c r="E8" s="53" t="inlineStr">
        <is>
          <t>S1107793AHN</t>
        </is>
      </c>
      <c r="F8" s="53" t="inlineStr"/>
      <c r="G8" s="53" t="inlineStr">
        <is>
          <t>DISPONIVEL</t>
        </is>
      </c>
      <c r="H8" s="53" t="inlineStr">
        <is>
          <t>USADO</t>
        </is>
      </c>
      <c r="I8" s="103" t="inlineStr">
        <is>
          <t>★★★☆☆</t>
        </is>
      </c>
      <c r="J8" s="141" t="n">
        <v>1600</v>
      </c>
      <c r="K8" s="143" t="n">
        <v>2999</v>
      </c>
      <c r="L8" s="101">
        <f>IF(J8&gt;0,(J8-K8)/J8,"")</f>
        <v/>
      </c>
      <c r="M8" s="102" t="inlineStr">
        <is>
          <t>Serial Fab.: DATE CODE 1109</t>
        </is>
      </c>
    </row>
    <row r="9" ht="22" customHeight="1">
      <c r="A9" s="59" t="inlineStr">
        <is>
          <t>MMD-AUD-0003</t>
        </is>
      </c>
      <c r="B9" s="75" t="inlineStr">
        <is>
          <t>6.0 SBX TRIO</t>
        </is>
      </c>
      <c r="C9" s="58" t="inlineStr">
        <is>
          <t>Machine</t>
        </is>
      </c>
      <c r="D9" s="58" t="inlineStr">
        <is>
          <t>AMP</t>
        </is>
      </c>
      <c r="E9" s="58" t="inlineStr"/>
      <c r="F9" s="58" t="inlineStr"/>
      <c r="G9" s="58" t="inlineStr">
        <is>
          <t>DISPONIVEL</t>
        </is>
      </c>
      <c r="H9" s="58" t="inlineStr">
        <is>
          <t>USADO</t>
        </is>
      </c>
      <c r="I9" s="103" t="inlineStr">
        <is>
          <t>★★★☆☆</t>
        </is>
      </c>
      <c r="J9" s="142" t="n">
        <v>1600</v>
      </c>
      <c r="K9" s="143" t="n">
        <v>2999</v>
      </c>
      <c r="L9" s="98">
        <f>IF(J9&gt;0,(J9-K9)/J9,"")</f>
        <v/>
      </c>
      <c r="M9" s="99" t="inlineStr"/>
    </row>
    <row r="10" ht="36" customHeight="1">
      <c r="A10" s="110" t="inlineStr">
        <is>
          <t>MMD-AUD-0005</t>
        </is>
      </c>
      <c r="B10" s="79" t="inlineStr">
        <is>
          <t>Z4 STUDIO R SERIE Z 4000 W</t>
        </is>
      </c>
      <c r="C10" s="53" t="inlineStr">
        <is>
          <t>Studio R</t>
        </is>
      </c>
      <c r="D10" s="53" t="inlineStr">
        <is>
          <t>AMP</t>
        </is>
      </c>
      <c r="E10" s="53" t="inlineStr"/>
      <c r="F10" s="53" t="inlineStr"/>
      <c r="G10" s="53" t="inlineStr">
        <is>
          <t>DISPONIVEL</t>
        </is>
      </c>
      <c r="H10" s="53" t="inlineStr">
        <is>
          <t>USADO</t>
        </is>
      </c>
      <c r="I10" s="111" t="inlineStr">
        <is>
          <t>★☆☆☆☆</t>
        </is>
      </c>
      <c r="J10" s="141" t="n">
        <v>4800</v>
      </c>
      <c r="K10" s="143" t="n">
        <v>4800</v>
      </c>
      <c r="L10" s="101">
        <f>IF(J10&gt;0,(J10-K10)/J10,"")</f>
        <v/>
      </c>
      <c r="M10" s="102" t="inlineStr">
        <is>
          <t>** MUITO PESADO - NAO CONSEGUI VER ATRAS</t>
        </is>
      </c>
    </row>
    <row r="11" ht="36" customHeight="1">
      <c r="A11" s="59" t="inlineStr">
        <is>
          <t>MMD-AUD-0006</t>
        </is>
      </c>
      <c r="B11" s="75" t="inlineStr">
        <is>
          <t>T500D CLASS D AMPLIFIER 500W</t>
        </is>
      </c>
      <c r="C11" s="58" t="inlineStr">
        <is>
          <t>Taramps</t>
        </is>
      </c>
      <c r="D11" s="58" t="inlineStr">
        <is>
          <t>AMP</t>
        </is>
      </c>
      <c r="E11" s="58" t="inlineStr">
        <is>
          <t>69013899</t>
        </is>
      </c>
      <c r="F11" s="58" t="inlineStr"/>
      <c r="G11" s="58" t="inlineStr">
        <is>
          <t>DISPONIVEL</t>
        </is>
      </c>
      <c r="H11" s="58" t="inlineStr">
        <is>
          <t>USADO</t>
        </is>
      </c>
      <c r="I11" s="95" t="inlineStr">
        <is>
          <t>★★☆☆☆</t>
        </is>
      </c>
      <c r="J11" s="142" t="n">
        <v>449.28</v>
      </c>
      <c r="K11" s="143" t="n">
        <v>449.28</v>
      </c>
      <c r="L11" s="98">
        <f>IF(J11&gt;0,(J11-K11)/J11,"")</f>
        <v/>
      </c>
      <c r="M11" s="99" t="inlineStr">
        <is>
          <t>** MUITO PESADO - NAO CONSEGUI VER ATRAS | Serial Fab.: 4...</t>
        </is>
      </c>
    </row>
    <row r="12" ht="24" customHeight="1">
      <c r="A12" s="108" t="inlineStr">
        <is>
          <t xml:space="preserve">  AMP FONES  (2)</t>
        </is>
      </c>
    </row>
    <row r="13" ht="22" customHeight="1">
      <c r="A13" s="110" t="inlineStr">
        <is>
          <t>MMD-AUD-0007</t>
        </is>
      </c>
      <c r="B13" s="79" t="inlineStr">
        <is>
          <t>POWERPLAY P16-I na caixa</t>
        </is>
      </c>
      <c r="C13" s="53" t="inlineStr">
        <is>
          <t>Behringer</t>
        </is>
      </c>
      <c r="D13" s="53" t="inlineStr">
        <is>
          <t>AMP FONES</t>
        </is>
      </c>
      <c r="E13" s="53" t="inlineStr">
        <is>
          <t>1205</t>
        </is>
      </c>
      <c r="F13" s="53" t="inlineStr"/>
      <c r="G13" s="53" t="inlineStr">
        <is>
          <t>DISPONIVEL</t>
        </is>
      </c>
      <c r="H13" s="53" t="inlineStr">
        <is>
          <t>USADO</t>
        </is>
      </c>
      <c r="I13" s="103" t="inlineStr">
        <is>
          <t>★★★☆☆</t>
        </is>
      </c>
      <c r="J13" s="141" t="n">
        <v>550</v>
      </c>
      <c r="K13" s="143" t="n">
        <v>759</v>
      </c>
      <c r="L13" s="101">
        <f>IF(J13&gt;0,(J13-K13)/J13,"")</f>
        <v/>
      </c>
      <c r="M13" s="102" t="inlineStr"/>
    </row>
    <row r="14" ht="36" customHeight="1">
      <c r="A14" s="59" t="inlineStr">
        <is>
          <t>MMD-AUD-0008</t>
        </is>
      </c>
      <c r="B14" s="75" t="inlineStr">
        <is>
          <t>POWERPLAY PRO-8 MODEL HA8000</t>
        </is>
      </c>
      <c r="C14" s="58" t="inlineStr">
        <is>
          <t>Behringer</t>
        </is>
      </c>
      <c r="D14" s="58" t="inlineStr">
        <is>
          <t>AMP FONES</t>
        </is>
      </c>
      <c r="E14" s="58" t="inlineStr">
        <is>
          <t>974185</t>
        </is>
      </c>
      <c r="F14" s="58" t="inlineStr"/>
      <c r="G14" s="58" t="inlineStr">
        <is>
          <t>DISPONIVEL</t>
        </is>
      </c>
      <c r="H14" s="58" t="inlineStr">
        <is>
          <t>USADO</t>
        </is>
      </c>
      <c r="I14" s="95" t="inlineStr">
        <is>
          <t>★★☆☆☆</t>
        </is>
      </c>
      <c r="J14" s="142" t="n">
        <v>2579</v>
      </c>
      <c r="K14" s="143" t="n">
        <v>2088</v>
      </c>
      <c r="L14" s="98">
        <f>IF(J14&gt;0,(J14-K14)/J14,"")</f>
        <v/>
      </c>
      <c r="M14" s="99" t="inlineStr">
        <is>
          <t>Serial Fab.: final do numero pois esta riscado</t>
        </is>
      </c>
    </row>
    <row r="15" ht="24" customHeight="1">
      <c r="A15" s="108" t="inlineStr">
        <is>
          <t xml:space="preserve">  AMP RF  (2)</t>
        </is>
      </c>
    </row>
    <row r="16" ht="22" customHeight="1">
      <c r="A16" s="110" t="inlineStr">
        <is>
          <t>MMD-AUD-0009</t>
        </is>
      </c>
      <c r="B16" s="79" t="inlineStr">
        <is>
          <t>PHENIX PRO DIRECTIONAL ANTENNA PAS-82</t>
        </is>
      </c>
      <c r="C16" s="53" t="inlineStr">
        <is>
          <t>Phenyx Pro</t>
        </is>
      </c>
      <c r="D16" s="53" t="inlineStr">
        <is>
          <t>AMP RF</t>
        </is>
      </c>
      <c r="E16" s="53" t="inlineStr"/>
      <c r="F16" s="53" t="inlineStr"/>
      <c r="G16" s="53" t="inlineStr">
        <is>
          <t>DISPONIVEL</t>
        </is>
      </c>
      <c r="H16" s="53" t="inlineStr">
        <is>
          <t>USADO</t>
        </is>
      </c>
      <c r="I16" s="103" t="inlineStr">
        <is>
          <t>★★★☆☆</t>
        </is>
      </c>
      <c r="J16" s="141" t="n">
        <v>710.53</v>
      </c>
      <c r="K16" s="143" t="n">
        <v>971</v>
      </c>
      <c r="L16" s="101">
        <f>IF(J16&gt;0,(J16-K16)/J16,"")</f>
        <v/>
      </c>
      <c r="M16" s="102" t="inlineStr"/>
    </row>
    <row r="17" ht="22" customHeight="1">
      <c r="A17" s="59" t="inlineStr">
        <is>
          <t>MMD-AUD-0010</t>
        </is>
      </c>
      <c r="B17" s="75" t="inlineStr">
        <is>
          <t>PAS-225 ANTENNA DISTRIBUTION SYSTEM</t>
        </is>
      </c>
      <c r="C17" s="58" t="inlineStr">
        <is>
          <t>Phenyx Pro</t>
        </is>
      </c>
      <c r="D17" s="58" t="inlineStr">
        <is>
          <t>AMP RF</t>
        </is>
      </c>
      <c r="E17" s="58" t="inlineStr">
        <is>
          <t>ATSY226948</t>
        </is>
      </c>
      <c r="F17" s="58" t="inlineStr"/>
      <c r="G17" s="58" t="inlineStr">
        <is>
          <t>DISPONIVEL</t>
        </is>
      </c>
      <c r="H17" s="58" t="inlineStr">
        <is>
          <t>USADO</t>
        </is>
      </c>
      <c r="I17" s="103" t="inlineStr">
        <is>
          <t>★★★☆☆</t>
        </is>
      </c>
      <c r="J17" s="142" t="n">
        <v>1848.27</v>
      </c>
      <c r="K17" s="143" t="n">
        <v>1848.27</v>
      </c>
      <c r="L17" s="98">
        <f>IF(J17&gt;0,(J17-K17)/J17,"")</f>
        <v/>
      </c>
      <c r="M17" s="99" t="inlineStr"/>
    </row>
    <row r="18" ht="24" customHeight="1">
      <c r="A18" s="108" t="inlineStr">
        <is>
          <t xml:space="preserve">  ANTENA DIRECIONAL  (1)</t>
        </is>
      </c>
    </row>
    <row r="19" ht="22" customHeight="1">
      <c r="A19" s="110" t="inlineStr">
        <is>
          <t>MMD-AUD-0011</t>
        </is>
      </c>
      <c r="B19" s="79" t="inlineStr">
        <is>
          <t>ANTENA PHENIX PRO PAS-225 COM RECEIVER</t>
        </is>
      </c>
      <c r="C19" s="53" t="inlineStr">
        <is>
          <t>Phenyx Pro</t>
        </is>
      </c>
      <c r="D19" s="53" t="inlineStr">
        <is>
          <t>ANTENA DIRECIONAL</t>
        </is>
      </c>
      <c r="E19" s="53" t="inlineStr"/>
      <c r="F19" s="53" t="inlineStr"/>
      <c r="G19" s="53" t="inlineStr">
        <is>
          <t>DISPONIVEL</t>
        </is>
      </c>
      <c r="H19" s="53" t="inlineStr">
        <is>
          <t>USADO</t>
        </is>
      </c>
      <c r="I19" s="103" t="inlineStr">
        <is>
          <t>★★★☆☆</t>
        </is>
      </c>
      <c r="J19" s="141" t="n">
        <v>2828.79</v>
      </c>
      <c r="K19" s="143" t="n">
        <v>1356</v>
      </c>
      <c r="L19" s="101">
        <f>IF(J19&gt;0,(J19-K19)/J19,"")</f>
        <v/>
      </c>
      <c r="M19" s="102" t="inlineStr"/>
    </row>
    <row r="20" ht="24" customHeight="1">
      <c r="A20" s="108" t="inlineStr">
        <is>
          <t xml:space="preserve">  BASE MIC  (4)</t>
        </is>
      </c>
    </row>
    <row r="21" ht="22" customHeight="1">
      <c r="A21" s="59" t="inlineStr">
        <is>
          <t>MMD-AUD-0012</t>
        </is>
      </c>
      <c r="B21" s="75" t="inlineStr">
        <is>
          <t>ew digital freq.q1-6</t>
        </is>
      </c>
      <c r="C21" s="58" t="inlineStr">
        <is>
          <t>Sennheiser</t>
        </is>
      </c>
      <c r="D21" s="58" t="inlineStr">
        <is>
          <t>BASE MIC</t>
        </is>
      </c>
      <c r="E21" s="58" t="inlineStr">
        <is>
          <t>5272008190</t>
        </is>
      </c>
      <c r="F21" s="58" t="inlineStr"/>
      <c r="G21" s="58" t="inlineStr">
        <is>
          <t>DISPONIVEL</t>
        </is>
      </c>
      <c r="H21" s="58" t="inlineStr">
        <is>
          <t>USADO</t>
        </is>
      </c>
      <c r="I21" s="103" t="inlineStr">
        <is>
          <t>★★★☆☆</t>
        </is>
      </c>
      <c r="J21" s="142" t="n">
        <v>790</v>
      </c>
      <c r="K21" s="143" t="n">
        <v>4699.9</v>
      </c>
      <c r="L21" s="98">
        <f>IF(J21&gt;0,(J21-K21)/J21,"")</f>
        <v/>
      </c>
      <c r="M21" s="99" t="inlineStr"/>
    </row>
    <row r="22" ht="22" customHeight="1">
      <c r="A22" s="110" t="inlineStr">
        <is>
          <t>MMD-AUD-0013</t>
        </is>
      </c>
      <c r="B22" s="79" t="inlineStr">
        <is>
          <t>ew digital freq.q1-6</t>
        </is>
      </c>
      <c r="C22" s="53" t="inlineStr">
        <is>
          <t>Sennheiser</t>
        </is>
      </c>
      <c r="D22" s="53" t="inlineStr">
        <is>
          <t>BASE MIC</t>
        </is>
      </c>
      <c r="E22" s="53" t="inlineStr">
        <is>
          <t>5435129500</t>
        </is>
      </c>
      <c r="F22" s="53" t="inlineStr"/>
      <c r="G22" s="53" t="inlineStr">
        <is>
          <t>DISPONIVEL</t>
        </is>
      </c>
      <c r="H22" s="53" t="inlineStr">
        <is>
          <t>USADO</t>
        </is>
      </c>
      <c r="I22" s="103" t="inlineStr">
        <is>
          <t>★★★☆☆</t>
        </is>
      </c>
      <c r="J22" s="141" t="n">
        <v>790</v>
      </c>
      <c r="K22" s="143" t="n">
        <v>4699.9</v>
      </c>
      <c r="L22" s="101">
        <f>IF(J22&gt;0,(J22-K22)/J22,"")</f>
        <v/>
      </c>
      <c r="M22" s="102" t="inlineStr"/>
    </row>
    <row r="23" ht="22" customHeight="1">
      <c r="A23" s="59" t="inlineStr">
        <is>
          <t>MMD-AUD-0014</t>
        </is>
      </c>
      <c r="B23" s="75" t="inlineStr">
        <is>
          <t>ew digital freq.r1-6</t>
        </is>
      </c>
      <c r="C23" s="58" t="inlineStr">
        <is>
          <t>Sennheiser</t>
        </is>
      </c>
      <c r="D23" s="58" t="inlineStr">
        <is>
          <t>BASE MIC</t>
        </is>
      </c>
      <c r="E23" s="58" t="inlineStr">
        <is>
          <t>5011002647</t>
        </is>
      </c>
      <c r="F23" s="58" t="inlineStr"/>
      <c r="G23" s="58" t="inlineStr">
        <is>
          <t>DISPONIVEL</t>
        </is>
      </c>
      <c r="H23" s="58" t="inlineStr">
        <is>
          <t>USADO</t>
        </is>
      </c>
      <c r="I23" s="103" t="inlineStr">
        <is>
          <t>★★★☆☆</t>
        </is>
      </c>
      <c r="J23" s="142" t="n">
        <v>790</v>
      </c>
      <c r="K23" s="143" t="n">
        <v>4699.9</v>
      </c>
      <c r="L23" s="98">
        <f>IF(J23&gt;0,(J23-K23)/J23,"")</f>
        <v/>
      </c>
      <c r="M23" s="99" t="inlineStr"/>
    </row>
    <row r="24" ht="22" customHeight="1">
      <c r="A24" s="110" t="inlineStr">
        <is>
          <t>MMD-AUD-0015</t>
        </is>
      </c>
      <c r="B24" s="79" t="inlineStr">
        <is>
          <t>ew G4 freq g</t>
        </is>
      </c>
      <c r="C24" s="53" t="inlineStr">
        <is>
          <t>Sennheiser</t>
        </is>
      </c>
      <c r="D24" s="53" t="inlineStr">
        <is>
          <t>BASE MIC</t>
        </is>
      </c>
      <c r="E24" s="53" t="inlineStr">
        <is>
          <t>4448005984</t>
        </is>
      </c>
      <c r="F24" s="53" t="inlineStr"/>
      <c r="G24" s="53" t="inlineStr">
        <is>
          <t>DISPONIVEL</t>
        </is>
      </c>
      <c r="H24" s="53" t="inlineStr">
        <is>
          <t>USADO</t>
        </is>
      </c>
      <c r="I24" s="103" t="inlineStr">
        <is>
          <t>★★★☆☆</t>
        </is>
      </c>
      <c r="J24" s="141" t="n">
        <v>790</v>
      </c>
      <c r="K24" s="143" t="n">
        <v>995</v>
      </c>
      <c r="L24" s="101">
        <f>IF(J24&gt;0,(J24-K24)/J24,"")</f>
        <v/>
      </c>
      <c r="M24" s="102" t="inlineStr"/>
    </row>
    <row r="25" ht="24" customHeight="1">
      <c r="A25" s="108" t="inlineStr">
        <is>
          <t xml:space="preserve">  BASE WIRELESS  (1)</t>
        </is>
      </c>
    </row>
    <row r="26" ht="22" customHeight="1">
      <c r="A26" s="59" t="inlineStr">
        <is>
          <t>MMD-AUD-0016</t>
        </is>
      </c>
      <c r="B26" s="75" t="inlineStr">
        <is>
          <t>GLXD4R</t>
        </is>
      </c>
      <c r="C26" s="58" t="inlineStr">
        <is>
          <t>Shure</t>
        </is>
      </c>
      <c r="D26" s="58" t="inlineStr">
        <is>
          <t>BASE WIRELESS</t>
        </is>
      </c>
      <c r="E26" s="58" t="inlineStr">
        <is>
          <t>3QI0721297</t>
        </is>
      </c>
      <c r="F26" s="58" t="inlineStr"/>
      <c r="G26" s="58" t="inlineStr">
        <is>
          <t>DISPONIVEL</t>
        </is>
      </c>
      <c r="H26" s="58" t="inlineStr">
        <is>
          <t>USADO</t>
        </is>
      </c>
      <c r="I26" s="103" t="inlineStr">
        <is>
          <t>★★★☆☆</t>
        </is>
      </c>
      <c r="J26" s="142" t="n">
        <v>4199</v>
      </c>
      <c r="K26" s="143" t="n">
        <v>4199</v>
      </c>
      <c r="L26" s="98">
        <f>IF(J26&gt;0,(J26-K26)/J26,"")</f>
        <v/>
      </c>
      <c r="M26" s="99" t="inlineStr"/>
    </row>
    <row r="27" ht="24" customHeight="1">
      <c r="A27" s="108" t="inlineStr">
        <is>
          <t xml:space="preserve">  BAT MAO  (2)</t>
        </is>
      </c>
    </row>
    <row r="28" ht="22" customHeight="1">
      <c r="A28" s="110" t="inlineStr">
        <is>
          <t>MMD-AUD-0018</t>
        </is>
      </c>
      <c r="B28" s="79" t="inlineStr">
        <is>
          <t>HANDSONIC HPD-20</t>
        </is>
      </c>
      <c r="C28" s="53" t="inlineStr">
        <is>
          <t>Roland</t>
        </is>
      </c>
      <c r="D28" s="53" t="inlineStr">
        <is>
          <t>BAT MAO</t>
        </is>
      </c>
      <c r="E28" s="53" t="inlineStr">
        <is>
          <t>Z5D1433</t>
        </is>
      </c>
      <c r="F28" s="53" t="inlineStr"/>
      <c r="G28" s="53" t="inlineStr">
        <is>
          <t>DISPONIVEL</t>
        </is>
      </c>
      <c r="H28" s="53" t="inlineStr">
        <is>
          <t>USADO</t>
        </is>
      </c>
      <c r="I28" s="103" t="inlineStr">
        <is>
          <t>★★★☆☆</t>
        </is>
      </c>
      <c r="J28" s="141" t="n">
        <v>2299</v>
      </c>
      <c r="K28" s="143" t="n">
        <v>7839</v>
      </c>
      <c r="L28" s="101">
        <f>IF(J28&gt;0,(J28-K28)/J28,"")</f>
        <v/>
      </c>
      <c r="M28" s="102" t="inlineStr"/>
    </row>
    <row r="29" ht="22" customHeight="1">
      <c r="A29" s="59" t="inlineStr">
        <is>
          <t>MMD-AUD-0019</t>
        </is>
      </c>
      <c r="B29" s="75" t="inlineStr">
        <is>
          <t>SPD-SX SAMPLING PAD</t>
        </is>
      </c>
      <c r="C29" s="58" t="inlineStr">
        <is>
          <t>Roland</t>
        </is>
      </c>
      <c r="D29" s="58" t="inlineStr">
        <is>
          <t>BAT MAO</t>
        </is>
      </c>
      <c r="E29" s="58" t="inlineStr">
        <is>
          <t>E9G9793</t>
        </is>
      </c>
      <c r="F29" s="58" t="inlineStr"/>
      <c r="G29" s="58" t="inlineStr">
        <is>
          <t>DISPONIVEL</t>
        </is>
      </c>
      <c r="H29" s="58" t="inlineStr">
        <is>
          <t>USADO</t>
        </is>
      </c>
      <c r="I29" s="103" t="inlineStr">
        <is>
          <t>★★★☆☆</t>
        </is>
      </c>
      <c r="J29" s="142" t="n">
        <v>2299</v>
      </c>
      <c r="K29" s="143" t="n">
        <v>6619</v>
      </c>
      <c r="L29" s="98">
        <f>IF(J29&gt;0,(J29-K29)/J29,"")</f>
        <v/>
      </c>
      <c r="M29" s="99" t="inlineStr"/>
    </row>
    <row r="30" ht="24" customHeight="1">
      <c r="A30" s="108" t="inlineStr">
        <is>
          <t xml:space="preserve">  BATERIA  (1)</t>
        </is>
      </c>
    </row>
    <row r="31" ht="22" customHeight="1">
      <c r="A31" s="110" t="inlineStr">
        <is>
          <t>MMD-AUD-0017</t>
        </is>
      </c>
      <c r="B31" s="79" t="inlineStr">
        <is>
          <t>KICK, CAIXA, TOM 1, TOM 2, SURDO, RIDE, CHIMBAL</t>
        </is>
      </c>
      <c r="C31" s="53" t="inlineStr"/>
      <c r="D31" s="53" t="inlineStr">
        <is>
          <t>BATERIA</t>
        </is>
      </c>
      <c r="E31" s="53" t="inlineStr"/>
      <c r="F31" s="53" t="inlineStr"/>
      <c r="G31" s="53" t="inlineStr">
        <is>
          <t>DISPONIVEL</t>
        </is>
      </c>
      <c r="H31" s="53" t="inlineStr">
        <is>
          <t>USADO</t>
        </is>
      </c>
      <c r="I31" s="103" t="inlineStr">
        <is>
          <t>★★★☆☆</t>
        </is>
      </c>
      <c r="J31" s="141" t="n">
        <v>2299</v>
      </c>
      <c r="K31" s="143" t="n">
        <v>2088</v>
      </c>
      <c r="L31" s="101">
        <f>IF(J31&gt;0,(J31-K31)/J31,"")</f>
        <v/>
      </c>
      <c r="M31" s="102" t="inlineStr"/>
    </row>
    <row r="32" ht="24" customHeight="1">
      <c r="A32" s="108" t="inlineStr">
        <is>
          <t xml:space="preserve">  BODYPACK  (1)</t>
        </is>
      </c>
    </row>
    <row r="33" ht="22" customHeight="1">
      <c r="A33" s="59" t="inlineStr">
        <is>
          <t>MMD-AUD-0020</t>
        </is>
      </c>
      <c r="B33" s="75" t="inlineStr">
        <is>
          <t>ewd sk freq.r1-6</t>
        </is>
      </c>
      <c r="C33" s="58" t="inlineStr">
        <is>
          <t>Sennheiser</t>
        </is>
      </c>
      <c r="D33" s="58" t="inlineStr">
        <is>
          <t>BODYPACK</t>
        </is>
      </c>
      <c r="E33" s="58" t="inlineStr">
        <is>
          <t>544001196</t>
        </is>
      </c>
      <c r="F33" s="58" t="inlineStr"/>
      <c r="G33" s="58" t="inlineStr">
        <is>
          <t>DISPONIVEL</t>
        </is>
      </c>
      <c r="H33" s="58" t="inlineStr">
        <is>
          <t>USADO</t>
        </is>
      </c>
      <c r="I33" s="103" t="inlineStr">
        <is>
          <t>★★★☆☆</t>
        </is>
      </c>
      <c r="J33" s="142" t="n">
        <v>790</v>
      </c>
      <c r="K33" s="143" t="n">
        <v>995</v>
      </c>
      <c r="L33" s="98">
        <f>IF(J33&gt;0,(J33-K33)/J33,"")</f>
        <v/>
      </c>
      <c r="M33" s="99" t="inlineStr"/>
    </row>
    <row r="34" ht="24" customHeight="1">
      <c r="A34" s="108" t="inlineStr">
        <is>
          <t xml:space="preserve">  CAIXA SOM  (17)</t>
        </is>
      </c>
    </row>
    <row r="35" ht="22" customHeight="1">
      <c r="A35" s="110" t="inlineStr">
        <is>
          <t>MMD-AUD-0021</t>
        </is>
      </c>
      <c r="B35" s="79" t="inlineStr">
        <is>
          <t>Art 712-A</t>
        </is>
      </c>
      <c r="C35" s="53" t="inlineStr">
        <is>
          <t>RCF</t>
        </is>
      </c>
      <c r="D35" s="53" t="inlineStr">
        <is>
          <t>CAIXA SOM</t>
        </is>
      </c>
      <c r="E35" s="53" t="inlineStr">
        <is>
          <t>VKC100700</t>
        </is>
      </c>
      <c r="F35" s="53" t="inlineStr"/>
      <c r="G35" s="53" t="inlineStr">
        <is>
          <t>DISPONIVEL</t>
        </is>
      </c>
      <c r="H35" s="53" t="inlineStr">
        <is>
          <t>USADO</t>
        </is>
      </c>
      <c r="I35" s="103" t="inlineStr">
        <is>
          <t>★★★☆☆</t>
        </is>
      </c>
      <c r="J35" s="141" t="n">
        <v>6349</v>
      </c>
      <c r="K35" s="143" t="n">
        <v>6149</v>
      </c>
      <c r="L35" s="101">
        <f>IF(J35&gt;0,(J35-K35)/J35,"")</f>
        <v/>
      </c>
      <c r="M35" s="102" t="inlineStr"/>
    </row>
    <row r="36" ht="22" customHeight="1">
      <c r="A36" s="59" t="inlineStr">
        <is>
          <t>MMD-AUD-0022</t>
        </is>
      </c>
      <c r="B36" s="75" t="inlineStr">
        <is>
          <t>Art 712-A</t>
        </is>
      </c>
      <c r="C36" s="58" t="inlineStr">
        <is>
          <t>RCF</t>
        </is>
      </c>
      <c r="D36" s="58" t="inlineStr">
        <is>
          <t>CAIXA SOM</t>
        </is>
      </c>
      <c r="E36" s="58" t="inlineStr">
        <is>
          <t>VKCC00701</t>
        </is>
      </c>
      <c r="F36" s="58" t="inlineStr"/>
      <c r="G36" s="58" t="inlineStr">
        <is>
          <t>DISPONIVEL</t>
        </is>
      </c>
      <c r="H36" s="58" t="inlineStr">
        <is>
          <t>USADO</t>
        </is>
      </c>
      <c r="I36" s="103" t="inlineStr">
        <is>
          <t>★★★☆☆</t>
        </is>
      </c>
      <c r="J36" s="142" t="n">
        <v>6349</v>
      </c>
      <c r="K36" s="143" t="n">
        <v>6149</v>
      </c>
      <c r="L36" s="98">
        <f>IF(J36&gt;0,(J36-K36)/J36,"")</f>
        <v/>
      </c>
      <c r="M36" s="99" t="inlineStr"/>
    </row>
    <row r="37" ht="36" customHeight="1">
      <c r="A37" s="110" t="inlineStr">
        <is>
          <t>MMD-AUD-0023</t>
        </is>
      </c>
      <c r="B37" s="79" t="inlineStr">
        <is>
          <t>DXR15</t>
        </is>
      </c>
      <c r="C37" s="53" t="inlineStr">
        <is>
          <t>Yamaha</t>
        </is>
      </c>
      <c r="D37" s="53" t="inlineStr">
        <is>
          <t>CAIXA SOM</t>
        </is>
      </c>
      <c r="E37" s="53" t="inlineStr">
        <is>
          <t>JEXY01012</t>
        </is>
      </c>
      <c r="F37" s="53" t="inlineStr"/>
      <c r="G37" s="53" t="inlineStr">
        <is>
          <t>DISPONIVEL</t>
        </is>
      </c>
      <c r="H37" s="53" t="inlineStr">
        <is>
          <t>SEMI_NOVO</t>
        </is>
      </c>
      <c r="I37" s="112" t="inlineStr">
        <is>
          <t>★★★★☆</t>
        </is>
      </c>
      <c r="J37" s="141" t="n">
        <v>11581.68</v>
      </c>
      <c r="K37" s="143" t="n">
        <v>8499</v>
      </c>
      <c r="L37" s="101">
        <f>IF(J37&gt;0,(J37-K37)/J37,"")</f>
        <v/>
      </c>
      <c r="M37" s="102" t="inlineStr">
        <is>
          <t>*Comprou quarta, 02/10/24. | Serial Fab.: etiqueta riscad...</t>
        </is>
      </c>
    </row>
    <row r="38" ht="36" customHeight="1">
      <c r="A38" s="59" t="inlineStr">
        <is>
          <t>MMD-AUD-0024</t>
        </is>
      </c>
      <c r="B38" s="75" t="inlineStr">
        <is>
          <t>DXR15</t>
        </is>
      </c>
      <c r="C38" s="58" t="inlineStr">
        <is>
          <t>Yamaha</t>
        </is>
      </c>
      <c r="D38" s="58" t="inlineStr">
        <is>
          <t>CAIXA SOM</t>
        </is>
      </c>
      <c r="E38" s="58" t="inlineStr">
        <is>
          <t>JEXY01024</t>
        </is>
      </c>
      <c r="F38" s="58" t="inlineStr"/>
      <c r="G38" s="58" t="inlineStr">
        <is>
          <t>DISPONIVEL</t>
        </is>
      </c>
      <c r="H38" s="58" t="inlineStr">
        <is>
          <t>SEMI_NOVO</t>
        </is>
      </c>
      <c r="I38" s="113" t="inlineStr">
        <is>
          <t>★★★★★</t>
        </is>
      </c>
      <c r="J38" s="142" t="n">
        <v>11581.68</v>
      </c>
      <c r="K38" s="143" t="n">
        <v>8499</v>
      </c>
      <c r="L38" s="98">
        <f>IF(J38&gt;0,(J38-K38)/J38,"")</f>
        <v/>
      </c>
      <c r="M38" s="99" t="inlineStr">
        <is>
          <t>*Comprou quarta, 02/10/24.</t>
        </is>
      </c>
    </row>
    <row r="39" ht="22" customHeight="1">
      <c r="A39" s="110" t="inlineStr">
        <is>
          <t>MMD-AUD-0025</t>
        </is>
      </c>
      <c r="B39" s="79" t="inlineStr">
        <is>
          <t>K10.2</t>
        </is>
      </c>
      <c r="C39" s="53" t="inlineStr">
        <is>
          <t>QSC</t>
        </is>
      </c>
      <c r="D39" s="53" t="inlineStr">
        <is>
          <t>CAIXA SOM</t>
        </is>
      </c>
      <c r="E39" s="53" t="inlineStr">
        <is>
          <t>15CN2434100443</t>
        </is>
      </c>
      <c r="F39" s="53" t="inlineStr"/>
      <c r="G39" s="53" t="inlineStr">
        <is>
          <t>DISPONIVEL</t>
        </is>
      </c>
      <c r="H39" s="53" t="inlineStr">
        <is>
          <t>SEMI_NOVO</t>
        </is>
      </c>
      <c r="I39" s="112" t="inlineStr">
        <is>
          <t>★★★★☆</t>
        </is>
      </c>
      <c r="J39" s="141" t="n">
        <v>10710</v>
      </c>
      <c r="K39" s="143" t="n">
        <v>8354</v>
      </c>
      <c r="L39" s="101">
        <f>IF(J39&gt;0,(J39-K39)/J39,"")</f>
        <v/>
      </c>
      <c r="M39" s="102" t="inlineStr"/>
    </row>
    <row r="40" ht="22" customHeight="1">
      <c r="A40" s="59" t="inlineStr">
        <is>
          <t>MMD-AUD-0026</t>
        </is>
      </c>
      <c r="B40" s="75" t="inlineStr">
        <is>
          <t>K10.2</t>
        </is>
      </c>
      <c r="C40" s="58" t="inlineStr">
        <is>
          <t>QSC</t>
        </is>
      </c>
      <c r="D40" s="58" t="inlineStr">
        <is>
          <t>CAIXA SOM</t>
        </is>
      </c>
      <c r="E40" s="58" t="inlineStr">
        <is>
          <t>V361820F3</t>
        </is>
      </c>
      <c r="F40" s="58" t="inlineStr"/>
      <c r="G40" s="58" t="inlineStr">
        <is>
          <t>DISPONIVEL</t>
        </is>
      </c>
      <c r="H40" s="58" t="inlineStr">
        <is>
          <t>SEMI_NOVO</t>
        </is>
      </c>
      <c r="I40" s="112" t="inlineStr">
        <is>
          <t>★★★★☆</t>
        </is>
      </c>
      <c r="J40" s="142" t="n">
        <v>10710</v>
      </c>
      <c r="K40" s="143" t="n">
        <v>8354</v>
      </c>
      <c r="L40" s="98">
        <f>IF(J40&gt;0,(J40-K40)/J40,"")</f>
        <v/>
      </c>
      <c r="M40" s="99" t="inlineStr"/>
    </row>
    <row r="41" ht="36" customHeight="1">
      <c r="A41" s="110" t="inlineStr">
        <is>
          <t>MMD-AUD-0027</t>
        </is>
      </c>
      <c r="B41" s="79" t="inlineStr">
        <is>
          <t>K12.2</t>
        </is>
      </c>
      <c r="C41" s="53" t="inlineStr">
        <is>
          <t>QSC</t>
        </is>
      </c>
      <c r="D41" s="53" t="inlineStr">
        <is>
          <t>CAIXA SOM</t>
        </is>
      </c>
      <c r="E41" s="53" t="inlineStr">
        <is>
          <t>25CN2213200580</t>
        </is>
      </c>
      <c r="F41" s="53" t="inlineStr"/>
      <c r="G41" s="53" t="inlineStr">
        <is>
          <t>DISPONIVEL</t>
        </is>
      </c>
      <c r="H41" s="53" t="inlineStr">
        <is>
          <t>USADO</t>
        </is>
      </c>
      <c r="I41" s="103" t="inlineStr">
        <is>
          <t>★★★☆☆</t>
        </is>
      </c>
      <c r="J41" s="141" t="n">
        <v>12530</v>
      </c>
      <c r="K41" s="143" t="n">
        <v>8990</v>
      </c>
      <c r="L41" s="101">
        <f>IF(J41&gt;0,(J41-K41)/J41,"")</f>
        <v/>
      </c>
      <c r="M41" s="102" t="inlineStr">
        <is>
          <t>*FALTOU A FOTO DA FRENTE - TEM ADESIVO BRANCA EM CIMA</t>
        </is>
      </c>
    </row>
    <row r="42" ht="22" customHeight="1">
      <c r="A42" s="59" t="inlineStr">
        <is>
          <t>MMD-AUD-0028</t>
        </is>
      </c>
      <c r="B42" s="75" t="inlineStr">
        <is>
          <t>K12.2</t>
        </is>
      </c>
      <c r="C42" s="58" t="inlineStr">
        <is>
          <t>QSC</t>
        </is>
      </c>
      <c r="D42" s="58" t="inlineStr">
        <is>
          <t>CAIXA SOM</t>
        </is>
      </c>
      <c r="E42" s="58" t="inlineStr">
        <is>
          <t>G1718007N</t>
        </is>
      </c>
      <c r="F42" s="58" t="inlineStr"/>
      <c r="G42" s="58" t="inlineStr">
        <is>
          <t>DISPONIVEL</t>
        </is>
      </c>
      <c r="H42" s="58" t="inlineStr">
        <is>
          <t>SEMI_NOVO</t>
        </is>
      </c>
      <c r="I42" s="112" t="inlineStr">
        <is>
          <t>★★★★☆</t>
        </is>
      </c>
      <c r="J42" s="142" t="n">
        <v>12530</v>
      </c>
      <c r="K42" s="143" t="n">
        <v>8990</v>
      </c>
      <c r="L42" s="98">
        <f>IF(J42&gt;0,(J42-K42)/J42,"")</f>
        <v/>
      </c>
      <c r="M42" s="99" t="inlineStr"/>
    </row>
    <row r="43" ht="22" customHeight="1">
      <c r="A43" s="110" t="inlineStr">
        <is>
          <t>MMD-AUD-0029</t>
        </is>
      </c>
      <c r="B43" s="79" t="inlineStr">
        <is>
          <t>K12.2</t>
        </is>
      </c>
      <c r="C43" s="53" t="inlineStr">
        <is>
          <t>QSC</t>
        </is>
      </c>
      <c r="D43" s="53" t="inlineStr">
        <is>
          <t>CAIXA SOM</t>
        </is>
      </c>
      <c r="E43" s="53" t="inlineStr">
        <is>
          <t>G211801NJ</t>
        </is>
      </c>
      <c r="F43" s="53" t="inlineStr"/>
      <c r="G43" s="53" t="inlineStr">
        <is>
          <t>DISPONIVEL</t>
        </is>
      </c>
      <c r="H43" s="53" t="inlineStr">
        <is>
          <t>SEMI_NOVO</t>
        </is>
      </c>
      <c r="I43" s="112" t="inlineStr">
        <is>
          <t>★★★★☆</t>
        </is>
      </c>
      <c r="J43" s="141" t="n">
        <v>12530</v>
      </c>
      <c r="K43" s="143" t="n">
        <v>8990</v>
      </c>
      <c r="L43" s="101">
        <f>IF(J43&gt;0,(J43-K43)/J43,"")</f>
        <v/>
      </c>
      <c r="M43" s="102" t="inlineStr"/>
    </row>
    <row r="44" ht="22" customHeight="1">
      <c r="A44" s="59" t="inlineStr">
        <is>
          <t>MMD-AUD-0030</t>
        </is>
      </c>
      <c r="B44" s="75" t="inlineStr">
        <is>
          <t>K12.2</t>
        </is>
      </c>
      <c r="C44" s="58" t="inlineStr">
        <is>
          <t>QSC</t>
        </is>
      </c>
      <c r="D44" s="58" t="inlineStr">
        <is>
          <t>CAIXA SOM</t>
        </is>
      </c>
      <c r="E44" s="58" t="inlineStr">
        <is>
          <t>G241800JM</t>
        </is>
      </c>
      <c r="F44" s="58" t="inlineStr"/>
      <c r="G44" s="58" t="inlineStr">
        <is>
          <t>DISPONIVEL</t>
        </is>
      </c>
      <c r="H44" s="58" t="inlineStr">
        <is>
          <t>SEMI_NOVO</t>
        </is>
      </c>
      <c r="I44" s="112" t="inlineStr">
        <is>
          <t>★★★★☆</t>
        </is>
      </c>
      <c r="J44" s="142" t="n">
        <v>12530</v>
      </c>
      <c r="K44" s="143" t="n">
        <v>8990</v>
      </c>
      <c r="L44" s="98">
        <f>IF(J44&gt;0,(J44-K44)/J44,"")</f>
        <v/>
      </c>
      <c r="M44" s="99" t="inlineStr"/>
    </row>
    <row r="45" ht="22" customHeight="1">
      <c r="A45" s="110" t="inlineStr">
        <is>
          <t>MMD-AUD-0031</t>
        </is>
      </c>
      <c r="B45" s="79" t="inlineStr">
        <is>
          <t>K12.2</t>
        </is>
      </c>
      <c r="C45" s="53" t="inlineStr">
        <is>
          <t>QSC</t>
        </is>
      </c>
      <c r="D45" s="53" t="inlineStr">
        <is>
          <t>CAIXA SOM</t>
        </is>
      </c>
      <c r="E45" s="53" t="inlineStr">
        <is>
          <t>V3819215Q</t>
        </is>
      </c>
      <c r="F45" s="53" t="inlineStr"/>
      <c r="G45" s="53" t="inlineStr">
        <is>
          <t>DISPONIVEL</t>
        </is>
      </c>
      <c r="H45" s="53" t="inlineStr">
        <is>
          <t>SEMI_NOVO</t>
        </is>
      </c>
      <c r="I45" s="112" t="inlineStr">
        <is>
          <t>★★★★☆</t>
        </is>
      </c>
      <c r="J45" s="141" t="n">
        <v>12530</v>
      </c>
      <c r="K45" s="143" t="n">
        <v>8990</v>
      </c>
      <c r="L45" s="101">
        <f>IF(J45&gt;0,(J45-K45)/J45,"")</f>
        <v/>
      </c>
      <c r="M45" s="102" t="inlineStr"/>
    </row>
    <row r="46" ht="22" customHeight="1">
      <c r="A46" s="59" t="inlineStr">
        <is>
          <t>MMD-AUD-0032</t>
        </is>
      </c>
      <c r="B46" s="75" t="inlineStr">
        <is>
          <t>K12.2</t>
        </is>
      </c>
      <c r="C46" s="58" t="inlineStr">
        <is>
          <t>QSC</t>
        </is>
      </c>
      <c r="D46" s="58" t="inlineStr">
        <is>
          <t>CAIXA SOM</t>
        </is>
      </c>
      <c r="E46" s="58" t="inlineStr">
        <is>
          <t>V501920YW</t>
        </is>
      </c>
      <c r="F46" s="58" t="inlineStr"/>
      <c r="G46" s="58" t="inlineStr">
        <is>
          <t>DISPONIVEL</t>
        </is>
      </c>
      <c r="H46" s="58" t="inlineStr">
        <is>
          <t>SEMI_NOVO</t>
        </is>
      </c>
      <c r="I46" s="112" t="inlineStr">
        <is>
          <t>★★★★☆</t>
        </is>
      </c>
      <c r="J46" s="142" t="n">
        <v>12530</v>
      </c>
      <c r="K46" s="143" t="n">
        <v>8990</v>
      </c>
      <c r="L46" s="98">
        <f>IF(J46&gt;0,(J46-K46)/J46,"")</f>
        <v/>
      </c>
      <c r="M46" s="99" t="inlineStr"/>
    </row>
    <row r="47" ht="22" customHeight="1">
      <c r="A47" s="110" t="inlineStr">
        <is>
          <t>MMD-AUD-0033</t>
        </is>
      </c>
      <c r="B47" s="79" t="inlineStr">
        <is>
          <t>K8/K10</t>
        </is>
      </c>
      <c r="C47" s="53" t="inlineStr">
        <is>
          <t>QSC</t>
        </is>
      </c>
      <c r="D47" s="53" t="inlineStr">
        <is>
          <t>CAIXA SOM</t>
        </is>
      </c>
      <c r="E47" s="53" t="inlineStr"/>
      <c r="F47" s="53" t="inlineStr"/>
      <c r="G47" s="53" t="inlineStr">
        <is>
          <t>DISPONIVEL</t>
        </is>
      </c>
      <c r="H47" s="53" t="inlineStr">
        <is>
          <t>USADO</t>
        </is>
      </c>
      <c r="I47" s="111" t="inlineStr">
        <is>
          <t>★☆☆☆☆</t>
        </is>
      </c>
      <c r="J47" s="141" t="n">
        <v>10710</v>
      </c>
      <c r="K47" s="143" t="n">
        <v>10710</v>
      </c>
      <c r="L47" s="101">
        <f>IF(J47&gt;0,(J47-K47)/J47,"")</f>
        <v/>
      </c>
      <c r="M47" s="102" t="inlineStr"/>
    </row>
    <row r="48" ht="22" customHeight="1">
      <c r="A48" s="59" t="inlineStr">
        <is>
          <t>MMD-AUD-0036</t>
        </is>
      </c>
      <c r="B48" s="75" t="inlineStr">
        <is>
          <t>Cinza</t>
        </is>
      </c>
      <c r="C48" s="58" t="inlineStr">
        <is>
          <t>CSR</t>
        </is>
      </c>
      <c r="D48" s="58" t="inlineStr">
        <is>
          <t>CAIXA SOM</t>
        </is>
      </c>
      <c r="E48" s="58" t="inlineStr"/>
      <c r="F48" s="58" t="inlineStr"/>
      <c r="G48" s="58" t="inlineStr">
        <is>
          <t>DISPONIVEL</t>
        </is>
      </c>
      <c r="H48" s="58" t="inlineStr">
        <is>
          <t>USADO</t>
        </is>
      </c>
      <c r="I48" s="103" t="inlineStr">
        <is>
          <t>★★★☆☆</t>
        </is>
      </c>
      <c r="J48" s="142" t="n">
        <v>2470</v>
      </c>
      <c r="K48" s="143" t="n">
        <v>2470</v>
      </c>
      <c r="L48" s="98">
        <f>IF(J48&gt;0,(J48-K48)/J48,"")</f>
        <v/>
      </c>
      <c r="M48" s="99" t="inlineStr"/>
    </row>
    <row r="49" ht="22" customHeight="1">
      <c r="A49" s="110" t="inlineStr">
        <is>
          <t>MMD-AUD-0038</t>
        </is>
      </c>
      <c r="B49" s="79" t="inlineStr">
        <is>
          <t>12'' PASSIVO</t>
        </is>
      </c>
      <c r="C49" s="53" t="inlineStr">
        <is>
          <t>NHL</t>
        </is>
      </c>
      <c r="D49" s="53" t="inlineStr">
        <is>
          <t>CAIXA SOM</t>
        </is>
      </c>
      <c r="E49" s="53" t="inlineStr"/>
      <c r="F49" s="53" t="inlineStr"/>
      <c r="G49" s="53" t="inlineStr">
        <is>
          <t>DISPONIVEL</t>
        </is>
      </c>
      <c r="H49" s="53" t="inlineStr">
        <is>
          <t>USADO</t>
        </is>
      </c>
      <c r="I49" s="103" t="inlineStr">
        <is>
          <t>★★★☆☆</t>
        </is>
      </c>
      <c r="J49" s="141" t="n">
        <v>1699</v>
      </c>
      <c r="K49" s="143" t="n">
        <v>1699</v>
      </c>
      <c r="L49" s="101">
        <f>IF(J49&gt;0,(J49-K49)/J49,"")</f>
        <v/>
      </c>
      <c r="M49" s="102" t="inlineStr"/>
    </row>
    <row r="50" ht="22" customHeight="1">
      <c r="A50" s="59" t="inlineStr">
        <is>
          <t>MMD-AUD-0039</t>
        </is>
      </c>
      <c r="B50" s="75" t="inlineStr">
        <is>
          <t>12''ATIVO</t>
        </is>
      </c>
      <c r="C50" s="58" t="inlineStr">
        <is>
          <t>NHL</t>
        </is>
      </c>
      <c r="D50" s="58" t="inlineStr">
        <is>
          <t>CAIXA SOM</t>
        </is>
      </c>
      <c r="E50" s="58" t="inlineStr"/>
      <c r="F50" s="58" t="inlineStr"/>
      <c r="G50" s="58" t="inlineStr">
        <is>
          <t>DISPONIVEL</t>
        </is>
      </c>
      <c r="H50" s="58" t="inlineStr">
        <is>
          <t>USADO</t>
        </is>
      </c>
      <c r="I50" s="103" t="inlineStr">
        <is>
          <t>★★★☆☆</t>
        </is>
      </c>
      <c r="J50" s="142" t="n">
        <v>2499</v>
      </c>
      <c r="K50" s="143" t="n">
        <v>2499</v>
      </c>
      <c r="L50" s="98">
        <f>IF(J50&gt;0,(J50-K50)/J50,"")</f>
        <v/>
      </c>
      <c r="M50" s="99" t="inlineStr"/>
    </row>
    <row r="51" ht="22" customHeight="1">
      <c r="A51" s="110" t="inlineStr">
        <is>
          <t>MMD-AUD-0040</t>
        </is>
      </c>
      <c r="B51" s="79" t="inlineStr">
        <is>
          <t>Leacs</t>
        </is>
      </c>
      <c r="C51" s="53" t="inlineStr">
        <is>
          <t>Leacs</t>
        </is>
      </c>
      <c r="D51" s="53" t="inlineStr">
        <is>
          <t>CAIXA SOM</t>
        </is>
      </c>
      <c r="E51" s="53" t="inlineStr"/>
      <c r="F51" s="53" t="inlineStr"/>
      <c r="G51" s="53" t="inlineStr">
        <is>
          <t>DISPONIVEL</t>
        </is>
      </c>
      <c r="H51" s="53" t="inlineStr">
        <is>
          <t>USADO</t>
        </is>
      </c>
      <c r="I51" s="103" t="inlineStr">
        <is>
          <t>★★★☆☆</t>
        </is>
      </c>
      <c r="J51" s="141" t="n">
        <v>2299</v>
      </c>
      <c r="K51" s="143" t="n">
        <v>1351</v>
      </c>
      <c r="L51" s="101">
        <f>IF(J51&gt;0,(J51-K51)/J51,"")</f>
        <v/>
      </c>
      <c r="M51" s="102" t="inlineStr"/>
    </row>
    <row r="52" ht="24" customHeight="1">
      <c r="A52" s="108" t="inlineStr">
        <is>
          <t xml:space="preserve">  CAPSULA MIC  (1)</t>
        </is>
      </c>
    </row>
    <row r="53" ht="22" customHeight="1">
      <c r="A53" s="59" t="inlineStr">
        <is>
          <t>MMD-AUD-0133</t>
        </is>
      </c>
      <c r="B53" s="75" t="inlineStr">
        <is>
          <t>PARA MICROFONE SM58</t>
        </is>
      </c>
      <c r="C53" s="58" t="inlineStr"/>
      <c r="D53" s="58" t="inlineStr">
        <is>
          <t>CAPSULA MIC</t>
        </is>
      </c>
      <c r="E53" s="58" t="inlineStr"/>
      <c r="F53" s="58" t="inlineStr"/>
      <c r="G53" s="58" t="inlineStr">
        <is>
          <t>DISPONIVEL</t>
        </is>
      </c>
      <c r="H53" s="58" t="inlineStr">
        <is>
          <t>USADO</t>
        </is>
      </c>
      <c r="I53" s="103" t="inlineStr">
        <is>
          <t>★★★☆☆</t>
        </is>
      </c>
      <c r="J53" s="142" t="n">
        <v>1600</v>
      </c>
      <c r="K53" s="143" t="n">
        <v>1119</v>
      </c>
      <c r="L53" s="98">
        <f>IF(J53&gt;0,(J53-K53)/J53,"")</f>
        <v/>
      </c>
      <c r="M53" s="99" t="inlineStr"/>
    </row>
    <row r="54" ht="24" customHeight="1">
      <c r="A54" s="108" t="inlineStr">
        <is>
          <t xml:space="preserve">  CAPT MIDI  (1)</t>
        </is>
      </c>
    </row>
    <row r="55" ht="22" customHeight="1">
      <c r="A55" s="110" t="inlineStr">
        <is>
          <t>MMD-AUD-0041</t>
        </is>
      </c>
      <c r="B55" s="79" t="inlineStr">
        <is>
          <t>FISHMAN WIRELESS MIDI CONTROLLER GUITAR</t>
        </is>
      </c>
      <c r="C55" s="53" t="inlineStr">
        <is>
          <t>Fishmann</t>
        </is>
      </c>
      <c r="D55" s="53" t="inlineStr">
        <is>
          <t>CAPT MIDI</t>
        </is>
      </c>
      <c r="E55" s="53" t="inlineStr">
        <is>
          <t>T-138-E-826-00</t>
        </is>
      </c>
      <c r="F55" s="53" t="inlineStr"/>
      <c r="G55" s="53" t="inlineStr">
        <is>
          <t>DISPONIVEL</t>
        </is>
      </c>
      <c r="H55" s="53" t="inlineStr">
        <is>
          <t>USADO</t>
        </is>
      </c>
      <c r="I55" s="103" t="inlineStr">
        <is>
          <t>★★★☆☆</t>
        </is>
      </c>
      <c r="J55" s="141" t="n">
        <v>2299</v>
      </c>
      <c r="K55" s="143" t="n">
        <v>4245</v>
      </c>
      <c r="L55" s="101">
        <f>IF(J55&gt;0,(J55-K55)/J55,"")</f>
        <v/>
      </c>
      <c r="M55" s="102" t="inlineStr"/>
    </row>
    <row r="56" ht="24" customHeight="1">
      <c r="A56" s="108" t="inlineStr">
        <is>
          <t xml:space="preserve">  CDJ / XDJ / DDJ  (6)</t>
        </is>
      </c>
    </row>
    <row r="57" ht="22" customHeight="1">
      <c r="A57" s="59" t="inlineStr">
        <is>
          <t>MMD-AUD-0042</t>
        </is>
      </c>
      <c r="B57" s="75" t="inlineStr">
        <is>
          <t>DDJ-400 PIONEER</t>
        </is>
      </c>
      <c r="C57" s="58" t="inlineStr">
        <is>
          <t>Pioneer</t>
        </is>
      </c>
      <c r="D57" s="58" t="inlineStr">
        <is>
          <t>CDJ / XDJ / DDJ</t>
        </is>
      </c>
      <c r="E57" s="58" t="inlineStr">
        <is>
          <t>SGMP118007NN</t>
        </is>
      </c>
      <c r="F57" s="58" t="inlineStr"/>
      <c r="G57" s="58" t="inlineStr">
        <is>
          <t>DISPONIVEL</t>
        </is>
      </c>
      <c r="H57" s="58" t="inlineStr">
        <is>
          <t>SEMI_NOVO</t>
        </is>
      </c>
      <c r="I57" s="112" t="inlineStr">
        <is>
          <t>★★★★☆</t>
        </is>
      </c>
      <c r="J57" s="142" t="n">
        <v>3500</v>
      </c>
      <c r="K57" s="143" t="n">
        <v>2500</v>
      </c>
      <c r="L57" s="98">
        <f>IF(J57&gt;0,(J57-K57)/J57,"")</f>
        <v/>
      </c>
      <c r="M57" s="99" t="inlineStr"/>
    </row>
    <row r="58" ht="22" customHeight="1">
      <c r="A58" s="110" t="inlineStr">
        <is>
          <t>MMD-AUD-0043</t>
        </is>
      </c>
      <c r="B58" s="79" t="inlineStr">
        <is>
          <t>FLX4</t>
        </is>
      </c>
      <c r="C58" s="53" t="inlineStr">
        <is>
          <t>Pioneer</t>
        </is>
      </c>
      <c r="D58" s="53" t="inlineStr">
        <is>
          <t>CDJ / XDJ / DDJ</t>
        </is>
      </c>
      <c r="E58" s="53" t="inlineStr">
        <is>
          <t>CHMP123892NN</t>
        </is>
      </c>
      <c r="F58" s="53" t="inlineStr"/>
      <c r="G58" s="53" t="inlineStr">
        <is>
          <t>DISPONIVEL</t>
        </is>
      </c>
      <c r="H58" s="53" t="inlineStr">
        <is>
          <t>USADO</t>
        </is>
      </c>
      <c r="I58" s="103" t="inlineStr">
        <is>
          <t>★★★☆☆</t>
        </is>
      </c>
      <c r="J58" s="141" t="n">
        <v>3258</v>
      </c>
      <c r="K58" s="143" t="n">
        <v>3258</v>
      </c>
      <c r="L58" s="101">
        <f>IF(J58&gt;0,(J58-K58)/J58,"")</f>
        <v/>
      </c>
      <c r="M58" s="102" t="inlineStr"/>
    </row>
    <row r="59" ht="22" customHeight="1">
      <c r="A59" s="59" t="inlineStr">
        <is>
          <t>MMD-AUD-0044</t>
        </is>
      </c>
      <c r="B59" s="75" t="inlineStr">
        <is>
          <t>DDJ-400 PIONEER</t>
        </is>
      </c>
      <c r="C59" s="58" t="inlineStr">
        <is>
          <t>Pioneer</t>
        </is>
      </c>
      <c r="D59" s="58" t="inlineStr">
        <is>
          <t>CDJ / XDJ / DDJ</t>
        </is>
      </c>
      <c r="E59" s="58" t="inlineStr">
        <is>
          <t>AGMP409104NN</t>
        </is>
      </c>
      <c r="F59" s="58" t="inlineStr"/>
      <c r="G59" s="58" t="inlineStr">
        <is>
          <t>DISPONIVEL</t>
        </is>
      </c>
      <c r="H59" s="58" t="inlineStr">
        <is>
          <t>SEMI_NOVO</t>
        </is>
      </c>
      <c r="I59" s="112" t="inlineStr">
        <is>
          <t>★★★★☆</t>
        </is>
      </c>
      <c r="J59" s="142" t="n">
        <v>3500</v>
      </c>
      <c r="K59" s="143" t="n">
        <v>2500</v>
      </c>
      <c r="L59" s="98">
        <f>IF(J59&gt;0,(J59-K59)/J59,"")</f>
        <v/>
      </c>
      <c r="M59" s="99" t="inlineStr"/>
    </row>
    <row r="60" ht="22" customHeight="1">
      <c r="A60" s="110" t="inlineStr">
        <is>
          <t>MMD-AUD-0045</t>
        </is>
      </c>
      <c r="B60" s="79" t="inlineStr">
        <is>
          <t>XDJ-RR PIONEER</t>
        </is>
      </c>
      <c r="C60" s="53" t="inlineStr">
        <is>
          <t>Pioneer</t>
        </is>
      </c>
      <c r="D60" s="53" t="inlineStr">
        <is>
          <t>CDJ / XDJ / DDJ</t>
        </is>
      </c>
      <c r="E60" s="53" t="inlineStr">
        <is>
          <t>SEMP003812EQ</t>
        </is>
      </c>
      <c r="F60" s="53" t="inlineStr"/>
      <c r="G60" s="53" t="inlineStr">
        <is>
          <t>DISPONIVEL</t>
        </is>
      </c>
      <c r="H60" s="53" t="inlineStr">
        <is>
          <t>SEMI_NOVO</t>
        </is>
      </c>
      <c r="I60" s="112" t="inlineStr">
        <is>
          <t>★★★★☆</t>
        </is>
      </c>
      <c r="J60" s="141" t="n">
        <v>13997</v>
      </c>
      <c r="K60" s="143" t="n">
        <v>11319</v>
      </c>
      <c r="L60" s="101">
        <f>IF(J60&gt;0,(J60-K60)/J60,"")</f>
        <v/>
      </c>
      <c r="M60" s="102" t="inlineStr"/>
    </row>
    <row r="61" ht="22" customHeight="1">
      <c r="A61" s="59" t="inlineStr">
        <is>
          <t>MMD-AUD-0046</t>
        </is>
      </c>
      <c r="B61" s="75" t="inlineStr">
        <is>
          <t>XDJ-RX PIONEER</t>
        </is>
      </c>
      <c r="C61" s="58" t="inlineStr">
        <is>
          <t>Pioneer</t>
        </is>
      </c>
      <c r="D61" s="58" t="inlineStr">
        <is>
          <t>CDJ / XDJ / DDJ</t>
        </is>
      </c>
      <c r="E61" s="58" t="inlineStr">
        <is>
          <t>QAMP000522EH</t>
        </is>
      </c>
      <c r="F61" s="58" t="inlineStr"/>
      <c r="G61" s="58" t="inlineStr">
        <is>
          <t>DISPONIVEL</t>
        </is>
      </c>
      <c r="H61" s="58" t="inlineStr">
        <is>
          <t>USADO</t>
        </is>
      </c>
      <c r="I61" s="103" t="inlineStr">
        <is>
          <t>★★★☆☆</t>
        </is>
      </c>
      <c r="J61" s="142" t="n">
        <v>8000</v>
      </c>
      <c r="K61" s="143" t="n">
        <v>8000</v>
      </c>
      <c r="L61" s="98">
        <f>IF(J61&gt;0,(J61-K61)/J61,"")</f>
        <v/>
      </c>
      <c r="M61" s="99" t="inlineStr"/>
    </row>
    <row r="62" ht="22" customHeight="1">
      <c r="A62" s="110" t="inlineStr">
        <is>
          <t>MMD-AUD-0047</t>
        </is>
      </c>
      <c r="B62" s="79" t="inlineStr">
        <is>
          <t>XDJ-XZ PIONEER</t>
        </is>
      </c>
      <c r="C62" s="53" t="inlineStr">
        <is>
          <t>Pioneer</t>
        </is>
      </c>
      <c r="D62" s="53" t="inlineStr">
        <is>
          <t>CDJ / XDJ / DDJ</t>
        </is>
      </c>
      <c r="E62" s="53" t="inlineStr">
        <is>
          <t>TDMP005734EH</t>
        </is>
      </c>
      <c r="F62" s="53" t="inlineStr"/>
      <c r="G62" s="53" t="inlineStr">
        <is>
          <t>DISPONIVEL</t>
        </is>
      </c>
      <c r="H62" s="53" t="inlineStr">
        <is>
          <t>SEMI_NOVO</t>
        </is>
      </c>
      <c r="I62" s="112" t="inlineStr">
        <is>
          <t>★★★★☆</t>
        </is>
      </c>
      <c r="J62" s="141" t="n">
        <v>22499.99</v>
      </c>
      <c r="K62" s="143" t="n">
        <v>15900</v>
      </c>
      <c r="L62" s="101">
        <f>IF(J62&gt;0,(J62-K62)/J62,"")</f>
        <v/>
      </c>
      <c r="M62" s="102" t="inlineStr"/>
    </row>
    <row r="63" ht="24" customHeight="1">
      <c r="A63" s="108" t="inlineStr">
        <is>
          <t xml:space="preserve">  DI  (9)</t>
        </is>
      </c>
    </row>
    <row r="64" ht="22" customHeight="1">
      <c r="A64" s="59" t="inlineStr">
        <is>
          <t>MMD-AUD-0049</t>
        </is>
      </c>
      <c r="B64" s="75" t="inlineStr">
        <is>
          <t>PHANTOM POWERED DI-BOX</t>
        </is>
      </c>
      <c r="C64" s="58" t="inlineStr">
        <is>
          <t>Behringer</t>
        </is>
      </c>
      <c r="D64" s="58" t="inlineStr">
        <is>
          <t>DI</t>
        </is>
      </c>
      <c r="E64" s="58" t="inlineStr">
        <is>
          <t>S170605566062</t>
        </is>
      </c>
      <c r="F64" s="58" t="inlineStr"/>
      <c r="G64" s="58" t="inlineStr">
        <is>
          <t>DISPONIVEL</t>
        </is>
      </c>
      <c r="H64" s="58" t="inlineStr">
        <is>
          <t>USADO</t>
        </is>
      </c>
      <c r="I64" s="103" t="inlineStr">
        <is>
          <t>★★★☆☆</t>
        </is>
      </c>
      <c r="J64" s="142" t="n">
        <v>610.9</v>
      </c>
      <c r="K64" s="143" t="n">
        <v>497.94</v>
      </c>
      <c r="L64" s="98">
        <f>IF(J64&gt;0,(J64-K64)/J64,"")</f>
        <v/>
      </c>
      <c r="M64" s="99" t="inlineStr"/>
    </row>
    <row r="65" ht="22" customHeight="1">
      <c r="A65" s="110" t="inlineStr">
        <is>
          <t>MMD-AUD-0050</t>
        </is>
      </c>
      <c r="B65" s="79" t="inlineStr">
        <is>
          <t>ULTRA-DI DI600P</t>
        </is>
      </c>
      <c r="C65" s="53" t="inlineStr">
        <is>
          <t>Behringer</t>
        </is>
      </c>
      <c r="D65" s="53" t="inlineStr">
        <is>
          <t>DI</t>
        </is>
      </c>
      <c r="E65" s="53" t="inlineStr">
        <is>
          <t>S1501356493</t>
        </is>
      </c>
      <c r="F65" s="53" t="inlineStr"/>
      <c r="G65" s="53" t="inlineStr">
        <is>
          <t>DISPONIVEL</t>
        </is>
      </c>
      <c r="H65" s="53" t="inlineStr">
        <is>
          <t>USADO</t>
        </is>
      </c>
      <c r="I65" s="103" t="inlineStr">
        <is>
          <t>★★★☆☆</t>
        </is>
      </c>
      <c r="J65" s="141" t="n">
        <v>478.8</v>
      </c>
      <c r="K65" s="143" t="n">
        <v>425</v>
      </c>
      <c r="L65" s="101">
        <f>IF(J65&gt;0,(J65-K65)/J65,"")</f>
        <v/>
      </c>
      <c r="M65" s="102" t="inlineStr"/>
    </row>
    <row r="66" ht="22" customHeight="1">
      <c r="A66" s="59" t="inlineStr">
        <is>
          <t>MMD-AUD-0051</t>
        </is>
      </c>
      <c r="B66" s="75" t="inlineStr">
        <is>
          <t>ULTRA-DI DI600P</t>
        </is>
      </c>
      <c r="C66" s="58" t="inlineStr">
        <is>
          <t>Behringer</t>
        </is>
      </c>
      <c r="D66" s="58" t="inlineStr">
        <is>
          <t>DI</t>
        </is>
      </c>
      <c r="E66" s="58" t="inlineStr">
        <is>
          <t>S220900421493</t>
        </is>
      </c>
      <c r="F66" s="58" t="inlineStr"/>
      <c r="G66" s="58" t="inlineStr">
        <is>
          <t>DISPONIVEL</t>
        </is>
      </c>
      <c r="H66" s="58" t="inlineStr">
        <is>
          <t>USADO</t>
        </is>
      </c>
      <c r="I66" s="103" t="inlineStr">
        <is>
          <t>★★★☆☆</t>
        </is>
      </c>
      <c r="J66" s="142" t="n">
        <v>478.8</v>
      </c>
      <c r="K66" s="143" t="n">
        <v>425</v>
      </c>
      <c r="L66" s="98">
        <f>IF(J66&gt;0,(J66-K66)/J66,"")</f>
        <v/>
      </c>
      <c r="M66" s="99" t="inlineStr"/>
    </row>
    <row r="67" ht="22" customHeight="1">
      <c r="A67" s="110" t="inlineStr">
        <is>
          <t>MMD-AUD-0052</t>
        </is>
      </c>
      <c r="B67" s="79" t="inlineStr">
        <is>
          <t>ULTRA-DI DI600P</t>
        </is>
      </c>
      <c r="C67" s="53" t="inlineStr">
        <is>
          <t>Behringer</t>
        </is>
      </c>
      <c r="D67" s="53" t="inlineStr">
        <is>
          <t>DI</t>
        </is>
      </c>
      <c r="E67" s="53" t="inlineStr">
        <is>
          <t>S220900426493</t>
        </is>
      </c>
      <c r="F67" s="53" t="inlineStr"/>
      <c r="G67" s="53" t="inlineStr">
        <is>
          <t>DISPONIVEL</t>
        </is>
      </c>
      <c r="H67" s="53" t="inlineStr">
        <is>
          <t>USADO</t>
        </is>
      </c>
      <c r="I67" s="103" t="inlineStr">
        <is>
          <t>★★★☆☆</t>
        </is>
      </c>
      <c r="J67" s="141" t="n">
        <v>478.8</v>
      </c>
      <c r="K67" s="143" t="n">
        <v>425</v>
      </c>
      <c r="L67" s="101">
        <f>IF(J67&gt;0,(J67-K67)/J67,"")</f>
        <v/>
      </c>
      <c r="M67" s="102" t="inlineStr"/>
    </row>
    <row r="68" ht="22" customHeight="1">
      <c r="A68" s="59" t="inlineStr">
        <is>
          <t>MMD-AUD-0053</t>
        </is>
      </c>
      <c r="B68" s="75" t="inlineStr">
        <is>
          <t>ULTRA-DI DI600P</t>
        </is>
      </c>
      <c r="C68" s="58" t="inlineStr">
        <is>
          <t>Behringer</t>
        </is>
      </c>
      <c r="D68" s="58" t="inlineStr">
        <is>
          <t>DI</t>
        </is>
      </c>
      <c r="E68" s="58" t="inlineStr">
        <is>
          <t>S220900428493</t>
        </is>
      </c>
      <c r="F68" s="58" t="inlineStr"/>
      <c r="G68" s="58" t="inlineStr">
        <is>
          <t>DISPONIVEL</t>
        </is>
      </c>
      <c r="H68" s="58" t="inlineStr">
        <is>
          <t>USADO</t>
        </is>
      </c>
      <c r="I68" s="103" t="inlineStr">
        <is>
          <t>★★★☆☆</t>
        </is>
      </c>
      <c r="J68" s="142" t="n">
        <v>478.8</v>
      </c>
      <c r="K68" s="143" t="n">
        <v>425</v>
      </c>
      <c r="L68" s="98">
        <f>IF(J68&gt;0,(J68-K68)/J68,"")</f>
        <v/>
      </c>
      <c r="M68" s="99" t="inlineStr"/>
    </row>
    <row r="69" ht="22" customHeight="1">
      <c r="A69" s="110" t="inlineStr">
        <is>
          <t>MMD-AUD-0054</t>
        </is>
      </c>
      <c r="B69" s="79" t="inlineStr">
        <is>
          <t>ULTRA-DI DI600P</t>
        </is>
      </c>
      <c r="C69" s="53" t="inlineStr">
        <is>
          <t>Behringer</t>
        </is>
      </c>
      <c r="D69" s="53" t="inlineStr">
        <is>
          <t>DI</t>
        </is>
      </c>
      <c r="E69" s="53" t="inlineStr">
        <is>
          <t>S220900430493</t>
        </is>
      </c>
      <c r="F69" s="53" t="inlineStr"/>
      <c r="G69" s="53" t="inlineStr">
        <is>
          <t>DISPONIVEL</t>
        </is>
      </c>
      <c r="H69" s="53" t="inlineStr">
        <is>
          <t>USADO</t>
        </is>
      </c>
      <c r="I69" s="103" t="inlineStr">
        <is>
          <t>★★★☆☆</t>
        </is>
      </c>
      <c r="J69" s="141" t="n">
        <v>478.8</v>
      </c>
      <c r="K69" s="143" t="n">
        <v>425</v>
      </c>
      <c r="L69" s="101">
        <f>IF(J69&gt;0,(J69-K69)/J69,"")</f>
        <v/>
      </c>
      <c r="M69" s="102" t="inlineStr"/>
    </row>
    <row r="70" ht="22" customHeight="1">
      <c r="A70" s="59" t="inlineStr">
        <is>
          <t>MMD-AUD-0055</t>
        </is>
      </c>
      <c r="B70" s="75" t="inlineStr">
        <is>
          <t>ULTRA-DI DI600P COM CASE</t>
        </is>
      </c>
      <c r="C70" s="58" t="inlineStr">
        <is>
          <t>Behringer</t>
        </is>
      </c>
      <c r="D70" s="58" t="inlineStr">
        <is>
          <t>DI</t>
        </is>
      </c>
      <c r="E70" s="58" t="inlineStr">
        <is>
          <t>S200900605493</t>
        </is>
      </c>
      <c r="F70" s="58" t="inlineStr"/>
      <c r="G70" s="58" t="inlineStr">
        <is>
          <t>DISPONIVEL</t>
        </is>
      </c>
      <c r="H70" s="58" t="inlineStr">
        <is>
          <t>USADO</t>
        </is>
      </c>
      <c r="I70" s="103" t="inlineStr">
        <is>
          <t>★★★☆☆</t>
        </is>
      </c>
      <c r="J70" s="142" t="n">
        <v>478.8</v>
      </c>
      <c r="K70" s="143" t="n">
        <v>435</v>
      </c>
      <c r="L70" s="98">
        <f>IF(J70&gt;0,(J70-K70)/J70,"")</f>
        <v/>
      </c>
      <c r="M70" s="99" t="inlineStr"/>
    </row>
    <row r="71" ht="22" customHeight="1">
      <c r="A71" s="110" t="inlineStr">
        <is>
          <t>MMD-AUD-0056</t>
        </is>
      </c>
      <c r="B71" s="79" t="inlineStr">
        <is>
          <t>ULTRA-DI DI600P COM CASE</t>
        </is>
      </c>
      <c r="C71" s="53" t="inlineStr">
        <is>
          <t>Behringer</t>
        </is>
      </c>
      <c r="D71" s="53" t="inlineStr">
        <is>
          <t>DI</t>
        </is>
      </c>
      <c r="E71" s="53" t="inlineStr">
        <is>
          <t>S200900714493</t>
        </is>
      </c>
      <c r="F71" s="53" t="inlineStr"/>
      <c r="G71" s="53" t="inlineStr">
        <is>
          <t>DISPONIVEL</t>
        </is>
      </c>
      <c r="H71" s="53" t="inlineStr">
        <is>
          <t>USADO</t>
        </is>
      </c>
      <c r="I71" s="103" t="inlineStr">
        <is>
          <t>★★★☆☆</t>
        </is>
      </c>
      <c r="J71" s="141" t="n">
        <v>478.8</v>
      </c>
      <c r="K71" s="143" t="n">
        <v>435</v>
      </c>
      <c r="L71" s="101">
        <f>IF(J71&gt;0,(J71-K71)/J71,"")</f>
        <v/>
      </c>
      <c r="M71" s="102" t="inlineStr"/>
    </row>
    <row r="72" ht="22" customHeight="1">
      <c r="A72" s="59" t="inlineStr">
        <is>
          <t>MMD-AUD-0057</t>
        </is>
      </c>
      <c r="B72" s="75" t="inlineStr">
        <is>
          <t>ULTRA-DI DI600P COM CASE</t>
        </is>
      </c>
      <c r="C72" s="58" t="inlineStr">
        <is>
          <t>Behringer</t>
        </is>
      </c>
      <c r="D72" s="58" t="inlineStr">
        <is>
          <t>DI</t>
        </is>
      </c>
      <c r="E72" s="58" t="inlineStr">
        <is>
          <t>S200900834493</t>
        </is>
      </c>
      <c r="F72" s="58" t="inlineStr"/>
      <c r="G72" s="58" t="inlineStr">
        <is>
          <t>DISPONIVEL</t>
        </is>
      </c>
      <c r="H72" s="58" t="inlineStr">
        <is>
          <t>USADO</t>
        </is>
      </c>
      <c r="I72" s="103" t="inlineStr">
        <is>
          <t>★★★☆☆</t>
        </is>
      </c>
      <c r="J72" s="142" t="n">
        <v>478.8</v>
      </c>
      <c r="K72" s="143" t="n">
        <v>435</v>
      </c>
      <c r="L72" s="98">
        <f>IF(J72&gt;0,(J72-K72)/J72,"")</f>
        <v/>
      </c>
      <c r="M72" s="99" t="inlineStr"/>
    </row>
    <row r="73" ht="24" customHeight="1">
      <c r="A73" s="108" t="inlineStr">
        <is>
          <t xml:space="preserve">  EFFECTS  (3)</t>
        </is>
      </c>
    </row>
    <row r="74" ht="22" customHeight="1">
      <c r="A74" s="110" t="inlineStr">
        <is>
          <t>MMD-AUD-0058</t>
        </is>
      </c>
      <c r="B74" s="79" t="inlineStr">
        <is>
          <t>PROFX6V3</t>
        </is>
      </c>
      <c r="C74" s="53" t="inlineStr">
        <is>
          <t>Mackie</t>
        </is>
      </c>
      <c r="D74" s="53" t="inlineStr">
        <is>
          <t>EFFECTS</t>
        </is>
      </c>
      <c r="E74" s="53" t="inlineStr">
        <is>
          <t>2051372CPMF0164</t>
        </is>
      </c>
      <c r="F74" s="53" t="inlineStr"/>
      <c r="G74" s="53" t="inlineStr">
        <is>
          <t>DISPONIVEL</t>
        </is>
      </c>
      <c r="H74" s="53" t="inlineStr">
        <is>
          <t>USADO</t>
        </is>
      </c>
      <c r="I74" s="103" t="inlineStr">
        <is>
          <t>★★★☆☆</t>
        </is>
      </c>
      <c r="J74" s="141" t="n">
        <v>1790</v>
      </c>
      <c r="K74" s="143" t="n">
        <v>2229.49</v>
      </c>
      <c r="L74" s="101">
        <f>IF(J74&gt;0,(J74-K74)/J74,"")</f>
        <v/>
      </c>
      <c r="M74" s="102" t="inlineStr"/>
    </row>
    <row r="75" ht="22" customHeight="1">
      <c r="A75" s="59" t="inlineStr">
        <is>
          <t>MMD-AUD-0059</t>
        </is>
      </c>
      <c r="B75" s="75" t="inlineStr">
        <is>
          <t>PROFX6V3</t>
        </is>
      </c>
      <c r="C75" s="58" t="inlineStr">
        <is>
          <t>Mackie</t>
        </is>
      </c>
      <c r="D75" s="58" t="inlineStr">
        <is>
          <t>EFFECTS</t>
        </is>
      </c>
      <c r="E75" s="58" t="inlineStr">
        <is>
          <t>2051372CPMF0197</t>
        </is>
      </c>
      <c r="F75" s="58" t="inlineStr"/>
      <c r="G75" s="58" t="inlineStr">
        <is>
          <t>DISPONIVEL</t>
        </is>
      </c>
      <c r="H75" s="58" t="inlineStr">
        <is>
          <t>USADO</t>
        </is>
      </c>
      <c r="I75" s="103" t="inlineStr">
        <is>
          <t>★★★☆☆</t>
        </is>
      </c>
      <c r="J75" s="142" t="n">
        <v>1790</v>
      </c>
      <c r="K75" s="143" t="n">
        <v>2229.49</v>
      </c>
      <c r="L75" s="98">
        <f>IF(J75&gt;0,(J75-K75)/J75,"")</f>
        <v/>
      </c>
      <c r="M75" s="99" t="inlineStr"/>
    </row>
    <row r="76" ht="22" customHeight="1">
      <c r="A76" s="110" t="inlineStr">
        <is>
          <t>MMD-AUD-0060</t>
        </is>
      </c>
      <c r="B76" s="79" t="inlineStr">
        <is>
          <t>RMX-1000 / SVWYXJ5</t>
        </is>
      </c>
      <c r="C76" s="53" t="inlineStr">
        <is>
          <t>Pioneer</t>
        </is>
      </c>
      <c r="D76" s="53" t="inlineStr">
        <is>
          <t>EFFECTS</t>
        </is>
      </c>
      <c r="E76" s="53" t="inlineStr">
        <is>
          <t>DBMP013010ER</t>
        </is>
      </c>
      <c r="F76" s="53" t="inlineStr"/>
      <c r="G76" s="53" t="inlineStr">
        <is>
          <t>DISPONIVEL</t>
        </is>
      </c>
      <c r="H76" s="53" t="inlineStr">
        <is>
          <t>USADO</t>
        </is>
      </c>
      <c r="I76" s="103" t="inlineStr">
        <is>
          <t>★★★☆☆</t>
        </is>
      </c>
      <c r="J76" s="141" t="n">
        <v>1790</v>
      </c>
      <c r="K76" s="143" t="n">
        <v>2229.49</v>
      </c>
      <c r="L76" s="101">
        <f>IF(J76&gt;0,(J76-K76)/J76,"")</f>
        <v/>
      </c>
      <c r="M76" s="102" t="inlineStr"/>
    </row>
    <row r="77" ht="24" customHeight="1">
      <c r="A77" s="108" t="inlineStr">
        <is>
          <t xml:space="preserve">  EQUALIZADOR  (2)</t>
        </is>
      </c>
    </row>
    <row r="78" ht="22" customHeight="1">
      <c r="A78" s="59" t="inlineStr">
        <is>
          <t>MMD-AUD-0061</t>
        </is>
      </c>
      <c r="B78" s="75" t="inlineStr">
        <is>
          <t>ULTRAGRAPH FBQ-PRO MODEL FBQ1502</t>
        </is>
      </c>
      <c r="C78" s="58" t="inlineStr">
        <is>
          <t>Behringer</t>
        </is>
      </c>
      <c r="D78" s="58" t="inlineStr">
        <is>
          <t>EQUALIZADOR</t>
        </is>
      </c>
      <c r="E78" s="58" t="inlineStr">
        <is>
          <t>S1210823205</t>
        </is>
      </c>
      <c r="F78" s="58" t="inlineStr"/>
      <c r="G78" s="58" t="inlineStr">
        <is>
          <t>DISPONIVEL</t>
        </is>
      </c>
      <c r="H78" s="58" t="inlineStr">
        <is>
          <t>USADO</t>
        </is>
      </c>
      <c r="I78" s="103" t="inlineStr">
        <is>
          <t>★★★☆☆</t>
        </is>
      </c>
      <c r="J78" s="142" t="n">
        <v>1733.16</v>
      </c>
      <c r="K78" s="143" t="n">
        <v>1200</v>
      </c>
      <c r="L78" s="98">
        <f>IF(J78&gt;0,(J78-K78)/J78,"")</f>
        <v/>
      </c>
      <c r="M78" s="99" t="inlineStr"/>
    </row>
    <row r="79" ht="22" customHeight="1">
      <c r="A79" s="110" t="inlineStr">
        <is>
          <t>MMD-AUD-0062</t>
        </is>
      </c>
      <c r="B79" s="79" t="inlineStr">
        <is>
          <t>ULTRAGRAPH FBQ-PRO MODEL FBQ1502</t>
        </is>
      </c>
      <c r="C79" s="53" t="inlineStr">
        <is>
          <t>Behringer</t>
        </is>
      </c>
      <c r="D79" s="53" t="inlineStr">
        <is>
          <t>EQUALIZADOR</t>
        </is>
      </c>
      <c r="E79" s="53" t="inlineStr">
        <is>
          <t>S121082405</t>
        </is>
      </c>
      <c r="F79" s="53" t="inlineStr"/>
      <c r="G79" s="53" t="inlineStr">
        <is>
          <t>DISPONIVEL</t>
        </is>
      </c>
      <c r="H79" s="53" t="inlineStr">
        <is>
          <t>USADO</t>
        </is>
      </c>
      <c r="I79" s="103" t="inlineStr">
        <is>
          <t>★★★☆☆</t>
        </is>
      </c>
      <c r="J79" s="141" t="n">
        <v>1733.16</v>
      </c>
      <c r="K79" s="143" t="n">
        <v>1200</v>
      </c>
      <c r="L79" s="101">
        <f>IF(J79&gt;0,(J79-K79)/J79,"")</f>
        <v/>
      </c>
      <c r="M79" s="102" t="inlineStr"/>
    </row>
    <row r="80" ht="24" customHeight="1">
      <c r="A80" s="108" t="inlineStr">
        <is>
          <t xml:space="preserve">  FONE  (1)</t>
        </is>
      </c>
    </row>
    <row r="81" ht="22" customHeight="1">
      <c r="A81" s="59" t="inlineStr">
        <is>
          <t>MMD-AUD-0063</t>
        </is>
      </c>
      <c r="B81" s="75" t="inlineStr">
        <is>
          <t>KZ-ZCN PRO 2</t>
        </is>
      </c>
      <c r="C81" s="58" t="inlineStr">
        <is>
          <t>Kz-Zcn PRO 2</t>
        </is>
      </c>
      <c r="D81" s="58" t="inlineStr">
        <is>
          <t>FONE</t>
        </is>
      </c>
      <c r="E81" s="58" t="inlineStr"/>
      <c r="F81" s="58" t="inlineStr"/>
      <c r="G81" s="58" t="inlineStr">
        <is>
          <t>DISPONIVEL</t>
        </is>
      </c>
      <c r="H81" s="58" t="inlineStr">
        <is>
          <t>USADO</t>
        </is>
      </c>
      <c r="I81" s="103" t="inlineStr">
        <is>
          <t>★★★☆☆</t>
        </is>
      </c>
      <c r="J81" s="142" t="n">
        <v>2299</v>
      </c>
      <c r="K81" s="143" t="n">
        <v>219.97</v>
      </c>
      <c r="L81" s="98">
        <f>IF(J81&gt;0,(J81-K81)/J81,"")</f>
        <v/>
      </c>
      <c r="M81" s="99" t="inlineStr"/>
    </row>
    <row r="82" ht="24" customHeight="1">
      <c r="A82" s="108" t="inlineStr">
        <is>
          <t xml:space="preserve">  GUITAR SYNTHESIZER  (1)</t>
        </is>
      </c>
    </row>
    <row r="83" ht="22" customHeight="1">
      <c r="A83" s="110" t="inlineStr">
        <is>
          <t>MMD-AUD-0064</t>
        </is>
      </c>
      <c r="B83" s="79" t="inlineStr">
        <is>
          <t>GR-55</t>
        </is>
      </c>
      <c r="C83" s="53" t="inlineStr">
        <is>
          <t>Roland</t>
        </is>
      </c>
      <c r="D83" s="53" t="inlineStr">
        <is>
          <t>GUITAR SYNTHESIZER</t>
        </is>
      </c>
      <c r="E83" s="53" t="inlineStr">
        <is>
          <t>Z3A1190</t>
        </is>
      </c>
      <c r="F83" s="53" t="inlineStr"/>
      <c r="G83" s="53" t="inlineStr">
        <is>
          <t>DISPONIVEL</t>
        </is>
      </c>
      <c r="H83" s="53" t="inlineStr">
        <is>
          <t>USADO</t>
        </is>
      </c>
      <c r="I83" s="103" t="inlineStr">
        <is>
          <t>★★★☆☆</t>
        </is>
      </c>
      <c r="J83" s="141" t="n">
        <v>2299</v>
      </c>
      <c r="K83" s="143" t="n">
        <v>2088</v>
      </c>
      <c r="L83" s="101">
        <f>IF(J83&gt;0,(J83-K83)/J83,"")</f>
        <v/>
      </c>
      <c r="M83" s="102" t="inlineStr"/>
    </row>
    <row r="84" ht="24" customHeight="1">
      <c r="A84" s="108" t="inlineStr">
        <is>
          <t xml:space="preserve">  IN EAR S / FIO  (3)</t>
        </is>
      </c>
    </row>
    <row r="85" ht="22" customHeight="1">
      <c r="A85" s="59" t="inlineStr">
        <is>
          <t>MMD-AUD-0065</t>
        </is>
      </c>
      <c r="B85" s="75" t="inlineStr">
        <is>
          <t>DSM-600 TX MONITOR TRASMITTER COM 2 BODYPACK</t>
        </is>
      </c>
      <c r="C85" s="58" t="inlineStr">
        <is>
          <t>Dylan</t>
        </is>
      </c>
      <c r="D85" s="58" t="inlineStr">
        <is>
          <t>IN EAR S / FIO</t>
        </is>
      </c>
      <c r="E85" s="58" t="inlineStr"/>
      <c r="F85" s="58" t="inlineStr"/>
      <c r="G85" s="58" t="inlineStr">
        <is>
          <t>DISPONIVEL</t>
        </is>
      </c>
      <c r="H85" s="58" t="inlineStr">
        <is>
          <t>USADO</t>
        </is>
      </c>
      <c r="I85" s="103" t="inlineStr">
        <is>
          <t>★★★☆☆</t>
        </is>
      </c>
      <c r="J85" s="142" t="n">
        <v>2490</v>
      </c>
      <c r="K85" s="143" t="n">
        <v>2490</v>
      </c>
      <c r="L85" s="98">
        <f>IF(J85&gt;0,(J85-K85)/J85,"")</f>
        <v/>
      </c>
      <c r="M85" s="99" t="inlineStr"/>
    </row>
    <row r="86" ht="36" customHeight="1">
      <c r="A86" s="110" t="inlineStr">
        <is>
          <t>MMD-AUD-0066</t>
        </is>
      </c>
      <c r="B86" s="79" t="inlineStr">
        <is>
          <t>PTM-33 - PERSONAL MONITOR SYSTEM COM RECEIVER</t>
        </is>
      </c>
      <c r="C86" s="53" t="inlineStr">
        <is>
          <t>Phenyx Pro</t>
        </is>
      </c>
      <c r="D86" s="53" t="inlineStr">
        <is>
          <t>IN EAR S / FIO</t>
        </is>
      </c>
      <c r="E86" s="53" t="inlineStr">
        <is>
          <t>2009DJ1618</t>
        </is>
      </c>
      <c r="F86" s="53" t="inlineStr"/>
      <c r="G86" s="53" t="inlineStr">
        <is>
          <t>DISPONIVEL</t>
        </is>
      </c>
      <c r="H86" s="53" t="inlineStr">
        <is>
          <t>USADO</t>
        </is>
      </c>
      <c r="I86" s="103" t="inlineStr">
        <is>
          <t>★★★☆☆</t>
        </is>
      </c>
      <c r="J86" s="141" t="n">
        <v>4500</v>
      </c>
      <c r="K86" s="143" t="n">
        <v>4500</v>
      </c>
      <c r="L86" s="101">
        <f>IF(J86&gt;0,(J86-K86)/J86,"")</f>
        <v/>
      </c>
      <c r="M86" s="102" t="inlineStr">
        <is>
          <t>Serial Fab.: BODYPACK</t>
        </is>
      </c>
    </row>
    <row r="87" ht="36" customHeight="1">
      <c r="A87" s="59" t="inlineStr">
        <is>
          <t>MMD-AUD-0067</t>
        </is>
      </c>
      <c r="B87" s="75" t="inlineStr">
        <is>
          <t>UHF WIRELESS MONO IN-EAR MONITOR SYSTEM PTM-33 SERIES</t>
        </is>
      </c>
      <c r="C87" s="58" t="inlineStr">
        <is>
          <t>Phenyx Pro</t>
        </is>
      </c>
      <c r="D87" s="58" t="inlineStr">
        <is>
          <t>IN EAR S / FIO</t>
        </is>
      </c>
      <c r="E87" s="58" t="inlineStr">
        <is>
          <t>PTC12795</t>
        </is>
      </c>
      <c r="F87" s="58" t="inlineStr"/>
      <c r="G87" s="58" t="inlineStr">
        <is>
          <t>DISPONIVEL</t>
        </is>
      </c>
      <c r="H87" s="58" t="inlineStr">
        <is>
          <t>USADO</t>
        </is>
      </c>
      <c r="I87" s="103" t="inlineStr">
        <is>
          <t>★★★☆☆</t>
        </is>
      </c>
      <c r="J87" s="142" t="n">
        <v>2632.15</v>
      </c>
      <c r="K87" s="143" t="n">
        <v>3666</v>
      </c>
      <c r="L87" s="98">
        <f>IF(J87&gt;0,(J87-K87)/J87,"")</f>
        <v/>
      </c>
      <c r="M87" s="99" t="inlineStr">
        <is>
          <t>Serial Fab.: BASE</t>
        </is>
      </c>
    </row>
    <row r="88" ht="24" customHeight="1">
      <c r="A88" s="108" t="inlineStr">
        <is>
          <t xml:space="preserve">  LINE ARRAY  (2)</t>
        </is>
      </c>
    </row>
    <row r="89" ht="22" customHeight="1">
      <c r="A89" s="110" t="inlineStr">
        <is>
          <t>MMD-AUD-0068</t>
        </is>
      </c>
      <c r="B89" s="79" t="inlineStr">
        <is>
          <t>LK 8 COMPACT</t>
        </is>
      </c>
      <c r="C89" s="53" t="inlineStr">
        <is>
          <t>Keybass</t>
        </is>
      </c>
      <c r="D89" s="53" t="inlineStr">
        <is>
          <t>LINE ARRAY</t>
        </is>
      </c>
      <c r="E89" s="53" t="inlineStr"/>
      <c r="F89" s="53" t="inlineStr"/>
      <c r="G89" s="53" t="inlineStr">
        <is>
          <t>DISPONIVEL</t>
        </is>
      </c>
      <c r="H89" s="53" t="inlineStr">
        <is>
          <t>USADO</t>
        </is>
      </c>
      <c r="I89" s="103" t="inlineStr">
        <is>
          <t>★★★☆☆</t>
        </is>
      </c>
      <c r="J89" s="141" t="n">
        <v>2299</v>
      </c>
      <c r="K89" s="143" t="n">
        <v>2088</v>
      </c>
      <c r="L89" s="101">
        <f>IF(J89&gt;0,(J89-K89)/J89,"")</f>
        <v/>
      </c>
      <c r="M89" s="102" t="inlineStr"/>
    </row>
    <row r="90" ht="22" customHeight="1">
      <c r="A90" s="59" t="inlineStr">
        <is>
          <t>MMD-AUD-0069</t>
        </is>
      </c>
      <c r="B90" s="75" t="inlineStr">
        <is>
          <t>LK 8 COMPACT</t>
        </is>
      </c>
      <c r="C90" s="58" t="inlineStr">
        <is>
          <t>Keybass</t>
        </is>
      </c>
      <c r="D90" s="58" t="inlineStr">
        <is>
          <t>LINE ARRAY</t>
        </is>
      </c>
      <c r="E90" s="58" t="inlineStr"/>
      <c r="F90" s="58" t="inlineStr"/>
      <c r="G90" s="58" t="inlineStr">
        <is>
          <t>DISPONIVEL</t>
        </is>
      </c>
      <c r="H90" s="58" t="inlineStr">
        <is>
          <t>USADO</t>
        </is>
      </c>
      <c r="I90" s="103" t="inlineStr">
        <is>
          <t>★★★☆☆</t>
        </is>
      </c>
      <c r="J90" s="142" t="n">
        <v>2299</v>
      </c>
      <c r="K90" s="143" t="n">
        <v>2088</v>
      </c>
      <c r="L90" s="98">
        <f>IF(J90&gt;0,(J90-K90)/J90,"")</f>
        <v/>
      </c>
      <c r="M90" s="99" t="inlineStr"/>
    </row>
    <row r="91" ht="24" customHeight="1">
      <c r="A91" s="108" t="inlineStr">
        <is>
          <t xml:space="preserve">  LINE VERTICAL  (2)</t>
        </is>
      </c>
    </row>
    <row r="92" ht="22" customHeight="1">
      <c r="A92" s="110" t="inlineStr">
        <is>
          <t>MMD-AUD-0070</t>
        </is>
      </c>
      <c r="B92" s="79" t="inlineStr">
        <is>
          <t>Evox J8</t>
        </is>
      </c>
      <c r="C92" s="53" t="inlineStr">
        <is>
          <t>RCF</t>
        </is>
      </c>
      <c r="D92" s="53" t="inlineStr">
        <is>
          <t>LINE VERTICAL</t>
        </is>
      </c>
      <c r="E92" s="53" t="inlineStr">
        <is>
          <t>XDIU00468</t>
        </is>
      </c>
      <c r="F92" s="53" t="inlineStr"/>
      <c r="G92" s="53" t="inlineStr">
        <is>
          <t>DISPONIVEL</t>
        </is>
      </c>
      <c r="H92" s="53" t="inlineStr">
        <is>
          <t>USADO</t>
        </is>
      </c>
      <c r="I92" s="103" t="inlineStr">
        <is>
          <t>★★★☆☆</t>
        </is>
      </c>
      <c r="J92" s="141" t="n">
        <v>10990</v>
      </c>
      <c r="K92" s="143" t="n">
        <v>9998</v>
      </c>
      <c r="L92" s="101">
        <f>IF(J92&gt;0,(J92-K92)/J92,"")</f>
        <v/>
      </c>
      <c r="M92" s="102" t="inlineStr"/>
    </row>
    <row r="93" ht="22" customHeight="1">
      <c r="A93" s="59" t="inlineStr">
        <is>
          <t>MMD-AUD-0071</t>
        </is>
      </c>
      <c r="B93" s="75" t="inlineStr">
        <is>
          <t>Evox J8</t>
        </is>
      </c>
      <c r="C93" s="58" t="inlineStr">
        <is>
          <t>RCF</t>
        </is>
      </c>
      <c r="D93" s="58" t="inlineStr">
        <is>
          <t>LINE VERTICAL</t>
        </is>
      </c>
      <c r="E93" s="58" t="inlineStr">
        <is>
          <t>XDIZ00461</t>
        </is>
      </c>
      <c r="F93" s="58" t="inlineStr"/>
      <c r="G93" s="58" t="inlineStr">
        <is>
          <t>DISPONIVEL</t>
        </is>
      </c>
      <c r="H93" s="58" t="inlineStr">
        <is>
          <t>USADO</t>
        </is>
      </c>
      <c r="I93" s="103" t="inlineStr">
        <is>
          <t>★★★☆☆</t>
        </is>
      </c>
      <c r="J93" s="142" t="n">
        <v>10990</v>
      </c>
      <c r="K93" s="143" t="n">
        <v>9998</v>
      </c>
      <c r="L93" s="98">
        <f>IF(J93&gt;0,(J93-K93)/J93,"")</f>
        <v/>
      </c>
      <c r="M93" s="99" t="inlineStr"/>
    </row>
    <row r="94" ht="24" customHeight="1">
      <c r="A94" s="108" t="inlineStr">
        <is>
          <t xml:space="preserve">  MESA SOM  (7)</t>
        </is>
      </c>
    </row>
    <row r="95" ht="22" customHeight="1">
      <c r="A95" s="110" t="inlineStr">
        <is>
          <t>MMD-AUD-0072</t>
        </is>
      </c>
      <c r="B95" s="79" t="inlineStr">
        <is>
          <t>EURORACK UB1202</t>
        </is>
      </c>
      <c r="C95" s="53" t="inlineStr">
        <is>
          <t>Behringer</t>
        </is>
      </c>
      <c r="D95" s="53" t="inlineStr">
        <is>
          <t>MESA SOM</t>
        </is>
      </c>
      <c r="E95" s="53" t="inlineStr">
        <is>
          <t>N0314515182</t>
        </is>
      </c>
      <c r="F95" s="53" t="inlineStr"/>
      <c r="G95" s="53" t="inlineStr">
        <is>
          <t>DISPONIVEL</t>
        </is>
      </c>
      <c r="H95" s="53" t="inlineStr">
        <is>
          <t>USADO</t>
        </is>
      </c>
      <c r="I95" s="95" t="inlineStr">
        <is>
          <t>★★☆☆☆</t>
        </is>
      </c>
      <c r="J95" s="141" t="n">
        <v>1400</v>
      </c>
      <c r="K95" s="143" t="n">
        <v>1399.9</v>
      </c>
      <c r="L95" s="101">
        <f>IF(J95&gt;0,(J95-K95)/J95,"")</f>
        <v/>
      </c>
      <c r="M95" s="102" t="inlineStr"/>
    </row>
    <row r="96" ht="22" customHeight="1">
      <c r="A96" s="59" t="inlineStr">
        <is>
          <t>MMD-AUD-0073</t>
        </is>
      </c>
      <c r="B96" s="75" t="inlineStr">
        <is>
          <t>EURORACK UB802</t>
        </is>
      </c>
      <c r="C96" s="58" t="inlineStr">
        <is>
          <t>Behringer</t>
        </is>
      </c>
      <c r="D96" s="58" t="inlineStr">
        <is>
          <t>MESA SOM</t>
        </is>
      </c>
      <c r="E96" s="58" t="inlineStr">
        <is>
          <t>S1401502180</t>
        </is>
      </c>
      <c r="F96" s="58" t="inlineStr"/>
      <c r="G96" s="58" t="inlineStr">
        <is>
          <t>DISPONIVEL</t>
        </is>
      </c>
      <c r="H96" s="58" t="inlineStr">
        <is>
          <t>USADO</t>
        </is>
      </c>
      <c r="I96" s="103" t="inlineStr">
        <is>
          <t>★★★☆☆</t>
        </is>
      </c>
      <c r="J96" s="142" t="n">
        <v>300</v>
      </c>
      <c r="K96" s="143" t="n">
        <v>300</v>
      </c>
      <c r="L96" s="98">
        <f>IF(J96&gt;0,(J96-K96)/J96,"")</f>
        <v/>
      </c>
      <c r="M96" s="99" t="inlineStr"/>
    </row>
    <row r="97" ht="22" customHeight="1">
      <c r="A97" s="110" t="inlineStr">
        <is>
          <t>MMD-AUD-0074</t>
        </is>
      </c>
      <c r="B97" s="79" t="inlineStr">
        <is>
          <t>MG10XU</t>
        </is>
      </c>
      <c r="C97" s="53" t="inlineStr">
        <is>
          <t>Yamaha</t>
        </is>
      </c>
      <c r="D97" s="53" t="inlineStr">
        <is>
          <t>MESA SOM</t>
        </is>
      </c>
      <c r="E97" s="53" t="inlineStr"/>
      <c r="F97" s="53" t="inlineStr"/>
      <c r="G97" s="53" t="inlineStr">
        <is>
          <t>DISPONIVEL</t>
        </is>
      </c>
      <c r="H97" s="53" t="inlineStr">
        <is>
          <t>USADO</t>
        </is>
      </c>
      <c r="I97" s="103" t="inlineStr">
        <is>
          <t>★★★☆☆</t>
        </is>
      </c>
      <c r="J97" s="141" t="n">
        <v>1849</v>
      </c>
      <c r="K97" s="143" t="n">
        <v>2249.9</v>
      </c>
      <c r="L97" s="101">
        <f>IF(J97&gt;0,(J97-K97)/J97,"")</f>
        <v/>
      </c>
      <c r="M97" s="102" t="inlineStr"/>
    </row>
    <row r="98" ht="22" customHeight="1">
      <c r="A98" s="59" t="inlineStr">
        <is>
          <t>MMD-AUD-0075</t>
        </is>
      </c>
      <c r="B98" s="75" t="inlineStr">
        <is>
          <t>MXM 4 S AUDIO MIXER</t>
        </is>
      </c>
      <c r="C98" s="58" t="inlineStr">
        <is>
          <t>Wattsom</t>
        </is>
      </c>
      <c r="D98" s="58" t="inlineStr">
        <is>
          <t>MESA SOM</t>
        </is>
      </c>
      <c r="E98" s="58" t="inlineStr"/>
      <c r="F98" s="58" t="inlineStr"/>
      <c r="G98" s="58" t="inlineStr">
        <is>
          <t>DISPONIVEL</t>
        </is>
      </c>
      <c r="H98" s="58" t="inlineStr">
        <is>
          <t>USADO</t>
        </is>
      </c>
      <c r="I98" s="103" t="inlineStr">
        <is>
          <t>★★★☆☆</t>
        </is>
      </c>
      <c r="J98" s="142" t="n">
        <v>1849</v>
      </c>
      <c r="K98" s="143" t="n">
        <v>2249.9</v>
      </c>
      <c r="L98" s="98">
        <f>IF(J98&gt;0,(J98-K98)/J98,"")</f>
        <v/>
      </c>
      <c r="M98" s="99" t="inlineStr"/>
    </row>
    <row r="99" ht="22" customHeight="1">
      <c r="A99" s="110" t="inlineStr">
        <is>
          <t>MMD-AUD-0076</t>
        </is>
      </c>
      <c r="B99" s="79" t="inlineStr">
        <is>
          <t>PRO R-1604</t>
        </is>
      </c>
      <c r="C99" s="53" t="inlineStr">
        <is>
          <t>Wharfedale</t>
        </is>
      </c>
      <c r="D99" s="53" t="inlineStr">
        <is>
          <t>MESA SOM</t>
        </is>
      </c>
      <c r="E99" s="53" t="inlineStr">
        <is>
          <t>R-1604005431</t>
        </is>
      </c>
      <c r="F99" s="53" t="inlineStr"/>
      <c r="G99" s="53" t="inlineStr">
        <is>
          <t>DISPONIVEL</t>
        </is>
      </c>
      <c r="H99" s="53" t="inlineStr">
        <is>
          <t>USADO</t>
        </is>
      </c>
      <c r="I99" s="103" t="inlineStr">
        <is>
          <t>★★★☆☆</t>
        </is>
      </c>
      <c r="J99" s="141" t="n">
        <v>1849</v>
      </c>
      <c r="K99" s="143" t="n">
        <v>2249.9</v>
      </c>
      <c r="L99" s="101">
        <f>IF(J99&gt;0,(J99-K99)/J99,"")</f>
        <v/>
      </c>
      <c r="M99" s="102" t="inlineStr"/>
    </row>
    <row r="100" ht="22" customHeight="1">
      <c r="A100" s="59" t="inlineStr">
        <is>
          <t>MMD-AUD-0077</t>
        </is>
      </c>
      <c r="B100" s="75" t="inlineStr">
        <is>
          <t>MG16XU</t>
        </is>
      </c>
      <c r="C100" s="58" t="inlineStr">
        <is>
          <t>Yamaha</t>
        </is>
      </c>
      <c r="D100" s="58" t="inlineStr">
        <is>
          <t>MESA SOM</t>
        </is>
      </c>
      <c r="E100" s="58" t="inlineStr">
        <is>
          <t>BRAGXH01003</t>
        </is>
      </c>
      <c r="F100" s="58" t="inlineStr"/>
      <c r="G100" s="58" t="inlineStr">
        <is>
          <t>DISPONIVEL</t>
        </is>
      </c>
      <c r="H100" s="58" t="inlineStr">
        <is>
          <t>USADO</t>
        </is>
      </c>
      <c r="I100" s="103" t="inlineStr">
        <is>
          <t>★★★☆☆</t>
        </is>
      </c>
      <c r="J100" s="142" t="n">
        <v>4588.96</v>
      </c>
      <c r="K100" s="143" t="n">
        <v>2249.9</v>
      </c>
      <c r="L100" s="98">
        <f>IF(J100&gt;0,(J100-K100)/J100,"")</f>
        <v/>
      </c>
      <c r="M100" s="99" t="inlineStr"/>
    </row>
    <row r="101" ht="22" customHeight="1">
      <c r="A101" s="110" t="inlineStr">
        <is>
          <t>MMD-AUD-0078</t>
        </is>
      </c>
      <c r="B101" s="79" t="inlineStr">
        <is>
          <t>X32 RACK</t>
        </is>
      </c>
      <c r="C101" s="53" t="inlineStr">
        <is>
          <t>Behringer</t>
        </is>
      </c>
      <c r="D101" s="53" t="inlineStr">
        <is>
          <t>MESA SOM</t>
        </is>
      </c>
      <c r="E101" s="53" t="inlineStr">
        <is>
          <t>S180100642AWN</t>
        </is>
      </c>
      <c r="F101" s="53" t="inlineStr"/>
      <c r="G101" s="53" t="inlineStr">
        <is>
          <t>DISPONIVEL</t>
        </is>
      </c>
      <c r="H101" s="53" t="inlineStr">
        <is>
          <t>USADO</t>
        </is>
      </c>
      <c r="I101" s="103" t="inlineStr">
        <is>
          <t>★★★☆☆</t>
        </is>
      </c>
      <c r="J101" s="141" t="n">
        <v>12900</v>
      </c>
      <c r="K101" s="143" t="n">
        <v>10490</v>
      </c>
      <c r="L101" s="101">
        <f>IF(J101&gt;0,(J101-K101)/J101,"")</f>
        <v/>
      </c>
      <c r="M101" s="102" t="inlineStr"/>
    </row>
    <row r="102" ht="24" customHeight="1">
      <c r="A102" s="108" t="inlineStr">
        <is>
          <t xml:space="preserve">  MIC  (1)</t>
        </is>
      </c>
    </row>
    <row r="103" ht="22" customHeight="1">
      <c r="A103" s="59" t="inlineStr">
        <is>
          <t>MMD-AUD-0098</t>
        </is>
      </c>
      <c r="B103" s="75" t="inlineStr">
        <is>
          <t>Microfone</t>
        </is>
      </c>
      <c r="C103" s="58" t="inlineStr">
        <is>
          <t>Skp-Pro Audio</t>
        </is>
      </c>
      <c r="D103" s="58" t="inlineStr">
        <is>
          <t>MIC</t>
        </is>
      </c>
      <c r="E103" s="58" t="inlineStr"/>
      <c r="F103" s="58" t="inlineStr"/>
      <c r="G103" s="58" t="inlineStr">
        <is>
          <t>DISPONIVEL</t>
        </is>
      </c>
      <c r="H103" s="58" t="inlineStr">
        <is>
          <t>USADO</t>
        </is>
      </c>
      <c r="I103" s="103" t="inlineStr">
        <is>
          <t>★★★☆☆</t>
        </is>
      </c>
      <c r="J103" s="142" t="n">
        <v>301.67</v>
      </c>
      <c r="K103" s="143" t="n">
        <v>301.67</v>
      </c>
      <c r="L103" s="98">
        <f>IF(J103&gt;0,(J103-K103)/J103,"")</f>
        <v/>
      </c>
      <c r="M103" s="99" t="inlineStr"/>
    </row>
    <row r="104" ht="24" customHeight="1">
      <c r="A104" s="108" t="inlineStr">
        <is>
          <t xml:space="preserve">  MIC C/ FIO  (5)</t>
        </is>
      </c>
    </row>
    <row r="105" ht="22" customHeight="1">
      <c r="A105" s="110" t="inlineStr">
        <is>
          <t>MMD-AUD-0079</t>
        </is>
      </c>
      <c r="B105" s="79" t="inlineStr">
        <is>
          <t>58A</t>
        </is>
      </c>
      <c r="C105" s="53" t="inlineStr">
        <is>
          <t>Beta</t>
        </is>
      </c>
      <c r="D105" s="53" t="inlineStr">
        <is>
          <t>MIC C/ FIO</t>
        </is>
      </c>
      <c r="E105" s="53" t="inlineStr"/>
      <c r="F105" s="53" t="inlineStr"/>
      <c r="G105" s="53" t="inlineStr">
        <is>
          <t>DISPONIVEL</t>
        </is>
      </c>
      <c r="H105" s="53" t="inlineStr">
        <is>
          <t>USADO</t>
        </is>
      </c>
      <c r="I105" s="103" t="inlineStr">
        <is>
          <t>★★★☆☆</t>
        </is>
      </c>
      <c r="J105" s="141" t="n">
        <v>1228</v>
      </c>
      <c r="K105" s="143" t="n">
        <v>1547</v>
      </c>
      <c r="L105" s="101">
        <f>IF(J105&gt;0,(J105-K105)/J105,"")</f>
        <v/>
      </c>
      <c r="M105" s="102" t="inlineStr"/>
    </row>
    <row r="106" ht="22" customHeight="1">
      <c r="A106" s="59" t="inlineStr">
        <is>
          <t>MMD-AUD-0080</t>
        </is>
      </c>
      <c r="B106" s="75" t="inlineStr">
        <is>
          <t>KIT PARA BATERIA SHURE PGA52 CARDIOID POLAR PATTERN</t>
        </is>
      </c>
      <c r="C106" s="58" t="inlineStr">
        <is>
          <t>Shure</t>
        </is>
      </c>
      <c r="D106" s="58" t="inlineStr">
        <is>
          <t>MIC C/ FIO</t>
        </is>
      </c>
      <c r="E106" s="58" t="inlineStr"/>
      <c r="F106" s="58" t="inlineStr"/>
      <c r="G106" s="58" t="inlineStr">
        <is>
          <t>DISPONIVEL</t>
        </is>
      </c>
      <c r="H106" s="58" t="inlineStr">
        <is>
          <t>USADO</t>
        </is>
      </c>
      <c r="I106" s="95" t="inlineStr">
        <is>
          <t>★★☆☆☆</t>
        </is>
      </c>
      <c r="J106" s="142" t="n">
        <v>3563.22</v>
      </c>
      <c r="K106" s="143" t="n">
        <v>1080</v>
      </c>
      <c r="L106" s="98">
        <f>IF(J106&gt;0,(J106-K106)/J106,"")</f>
        <v/>
      </c>
      <c r="M106" s="99" t="inlineStr"/>
    </row>
    <row r="107" ht="22" customHeight="1">
      <c r="A107" s="110" t="inlineStr">
        <is>
          <t>MMD-AUD-0081</t>
        </is>
      </c>
      <c r="B107" s="79" t="inlineStr">
        <is>
          <t>SM58</t>
        </is>
      </c>
      <c r="C107" s="53" t="inlineStr">
        <is>
          <t>Shure</t>
        </is>
      </c>
      <c r="D107" s="53" t="inlineStr">
        <is>
          <t>MIC C/ FIO</t>
        </is>
      </c>
      <c r="E107" s="53" t="inlineStr"/>
      <c r="F107" s="53" t="inlineStr"/>
      <c r="G107" s="53" t="inlineStr">
        <is>
          <t>DISPONIVEL</t>
        </is>
      </c>
      <c r="H107" s="53" t="inlineStr">
        <is>
          <t>USADO</t>
        </is>
      </c>
      <c r="I107" s="103" t="inlineStr">
        <is>
          <t>★★★☆☆</t>
        </is>
      </c>
      <c r="J107" s="141" t="n">
        <v>1119</v>
      </c>
      <c r="K107" s="143" t="n">
        <v>1099</v>
      </c>
      <c r="L107" s="101">
        <f>IF(J107&gt;0,(J107-K107)/J107,"")</f>
        <v/>
      </c>
      <c r="M107" s="102" t="inlineStr"/>
    </row>
    <row r="108" ht="36" customHeight="1">
      <c r="A108" s="59" t="inlineStr">
        <is>
          <t>MMD-AUD-0082</t>
        </is>
      </c>
      <c r="B108" s="75" t="inlineStr">
        <is>
          <t>Super 55</t>
        </is>
      </c>
      <c r="C108" s="58" t="inlineStr">
        <is>
          <t>Shure</t>
        </is>
      </c>
      <c r="D108" s="58" t="inlineStr">
        <is>
          <t>MIC C/ FIO</t>
        </is>
      </c>
      <c r="E108" s="58" t="inlineStr">
        <is>
          <t>0420617199 / 32...</t>
        </is>
      </c>
      <c r="F108" s="58" t="inlineStr"/>
      <c r="G108" s="58" t="inlineStr">
        <is>
          <t>DISPONIVEL</t>
        </is>
      </c>
      <c r="H108" s="58" t="inlineStr">
        <is>
          <t>USADO</t>
        </is>
      </c>
      <c r="I108" s="103" t="inlineStr">
        <is>
          <t>★★★☆☆</t>
        </is>
      </c>
      <c r="J108" s="142" t="n">
        <v>2712</v>
      </c>
      <c r="K108" s="143" t="n">
        <v>2712</v>
      </c>
      <c r="L108" s="98">
        <f>IF(J108&gt;0,(J108-K108)/J108,"")</f>
        <v/>
      </c>
      <c r="M108" s="99" t="inlineStr">
        <is>
          <t>Serial Fab.: NA CAIXA</t>
        </is>
      </c>
    </row>
    <row r="109" ht="22" customHeight="1">
      <c r="A109" s="110" t="inlineStr">
        <is>
          <t>MMD-AUD-0083</t>
        </is>
      </c>
      <c r="B109" s="79" t="inlineStr">
        <is>
          <t>Lapela</t>
        </is>
      </c>
      <c r="C109" s="53" t="inlineStr">
        <is>
          <t>Sennheiser</t>
        </is>
      </c>
      <c r="D109" s="53" t="inlineStr">
        <is>
          <t>MIC C/ FIO</t>
        </is>
      </c>
      <c r="E109" s="53" t="inlineStr"/>
      <c r="F109" s="53" t="inlineStr"/>
      <c r="G109" s="53" t="inlineStr">
        <is>
          <t>DISPONIVEL</t>
        </is>
      </c>
      <c r="H109" s="53" t="inlineStr">
        <is>
          <t>USADO</t>
        </is>
      </c>
      <c r="I109" s="103" t="inlineStr">
        <is>
          <t>★★★☆☆</t>
        </is>
      </c>
      <c r="J109" s="141" t="n">
        <v>1970</v>
      </c>
      <c r="K109" s="143" t="n">
        <v>148</v>
      </c>
      <c r="L109" s="101">
        <f>IF(J109&gt;0,(J109-K109)/J109,"")</f>
        <v/>
      </c>
      <c r="M109" s="102" t="inlineStr"/>
    </row>
    <row r="110" ht="24" customHeight="1">
      <c r="A110" s="108" t="inlineStr">
        <is>
          <t xml:space="preserve">  MIC LAPELA  (1)</t>
        </is>
      </c>
    </row>
    <row r="111" ht="22" customHeight="1">
      <c r="A111" s="59" t="inlineStr">
        <is>
          <t>MMD-AUD-0084</t>
        </is>
      </c>
      <c r="B111" s="75" t="inlineStr">
        <is>
          <t>MICWL</t>
        </is>
      </c>
      <c r="C111" s="58" t="inlineStr"/>
      <c r="D111" s="58" t="inlineStr">
        <is>
          <t>MIC LAPELA</t>
        </is>
      </c>
      <c r="E111" s="58" t="inlineStr"/>
      <c r="F111" s="58" t="inlineStr"/>
      <c r="G111" s="58" t="inlineStr">
        <is>
          <t>DISPONIVEL</t>
        </is>
      </c>
      <c r="H111" s="58" t="inlineStr">
        <is>
          <t>USADO</t>
        </is>
      </c>
      <c r="I111" s="103" t="inlineStr">
        <is>
          <t>★★★☆☆</t>
        </is>
      </c>
      <c r="J111" s="142" t="n">
        <v>2299</v>
      </c>
      <c r="K111" s="143" t="n">
        <v>2088</v>
      </c>
      <c r="L111" s="98">
        <f>IF(J111&gt;0,(J111-K111)/J111,"")</f>
        <v/>
      </c>
      <c r="M111" s="99" t="inlineStr"/>
    </row>
    <row r="112" ht="24" customHeight="1">
      <c r="A112" s="108" t="inlineStr">
        <is>
          <t xml:space="preserve">  MIC S/ FIO  (20)</t>
        </is>
      </c>
    </row>
    <row r="113" ht="22" customHeight="1">
      <c r="A113" s="110" t="inlineStr">
        <is>
          <t>MMD-AUD-0085</t>
        </is>
      </c>
      <c r="B113" s="79" t="inlineStr">
        <is>
          <t>EWD1</t>
        </is>
      </c>
      <c r="C113" s="53" t="inlineStr">
        <is>
          <t>Microfone SEM FIO</t>
        </is>
      </c>
      <c r="D113" s="53" t="inlineStr">
        <is>
          <t>MIC S/ FIO</t>
        </is>
      </c>
      <c r="E113" s="53" t="inlineStr">
        <is>
          <t>556721</t>
        </is>
      </c>
      <c r="F113" s="53" t="inlineStr"/>
      <c r="G113" s="53" t="inlineStr">
        <is>
          <t>DISPONIVEL</t>
        </is>
      </c>
      <c r="H113" s="53" t="inlineStr">
        <is>
          <t>USADO</t>
        </is>
      </c>
      <c r="I113" s="103" t="inlineStr">
        <is>
          <t>★★★☆☆</t>
        </is>
      </c>
      <c r="J113" s="141" t="n">
        <v>1308.5</v>
      </c>
      <c r="K113" s="143" t="n">
        <v>3581.65</v>
      </c>
      <c r="L113" s="101">
        <f>IF(J113&gt;0,(J113-K113)/J113,"")</f>
        <v/>
      </c>
      <c r="M113" s="102" t="inlineStr"/>
    </row>
    <row r="114" ht="22" customHeight="1">
      <c r="A114" s="59" t="inlineStr">
        <is>
          <t>MMD-AUD-0086</t>
        </is>
      </c>
      <c r="B114" s="75" t="inlineStr">
        <is>
          <t>PTU-7000</t>
        </is>
      </c>
      <c r="C114" s="58" t="inlineStr">
        <is>
          <t>Phenyx Pro</t>
        </is>
      </c>
      <c r="D114" s="58" t="inlineStr">
        <is>
          <t>MIC S/ FIO</t>
        </is>
      </c>
      <c r="E114" s="58" t="inlineStr">
        <is>
          <t>XFYU728967</t>
        </is>
      </c>
      <c r="F114" s="58" t="inlineStr"/>
      <c r="G114" s="58" t="inlineStr">
        <is>
          <t>DISPONIVEL</t>
        </is>
      </c>
      <c r="H114" s="58" t="inlineStr">
        <is>
          <t>USADO</t>
        </is>
      </c>
      <c r="I114" s="103" t="inlineStr">
        <is>
          <t>★★★☆☆</t>
        </is>
      </c>
      <c r="J114" s="142" t="n">
        <v>2233</v>
      </c>
      <c r="K114" s="143" t="n">
        <v>2233</v>
      </c>
      <c r="L114" s="98">
        <f>IF(J114&gt;0,(J114-K114)/J114,"")</f>
        <v/>
      </c>
      <c r="M114" s="99" t="inlineStr"/>
    </row>
    <row r="115" ht="22" customHeight="1">
      <c r="A115" s="110" t="inlineStr">
        <is>
          <t>MMD-AUD-0087</t>
        </is>
      </c>
      <c r="B115" s="79" t="inlineStr">
        <is>
          <t>Transmitter SK100 G3</t>
        </is>
      </c>
      <c r="C115" s="53" t="inlineStr">
        <is>
          <t>Sennheiser</t>
        </is>
      </c>
      <c r="D115" s="53" t="inlineStr">
        <is>
          <t>MIC S/ FIO</t>
        </is>
      </c>
      <c r="E115" s="53" t="inlineStr">
        <is>
          <t>4350032599</t>
        </is>
      </c>
      <c r="F115" s="53" t="inlineStr"/>
      <c r="G115" s="53" t="inlineStr">
        <is>
          <t>DISPONIVEL</t>
        </is>
      </c>
      <c r="H115" s="53" t="inlineStr">
        <is>
          <t>USADO</t>
        </is>
      </c>
      <c r="I115" s="103" t="inlineStr">
        <is>
          <t>★★★☆☆</t>
        </is>
      </c>
      <c r="J115" s="141" t="n">
        <v>995</v>
      </c>
      <c r="K115" s="143" t="n">
        <v>995</v>
      </c>
      <c r="L115" s="101">
        <f>IF(J115&gt;0,(J115-K115)/J115,"")</f>
        <v/>
      </c>
      <c r="M115" s="102" t="inlineStr"/>
    </row>
    <row r="116" ht="22" customHeight="1">
      <c r="A116" s="59" t="inlineStr">
        <is>
          <t>MMD-AUD-0088</t>
        </is>
      </c>
      <c r="B116" s="75" t="inlineStr">
        <is>
          <t>Transmitter SK100 G3</t>
        </is>
      </c>
      <c r="C116" s="58" t="inlineStr">
        <is>
          <t>Sennheiser</t>
        </is>
      </c>
      <c r="D116" s="58" t="inlineStr">
        <is>
          <t>MIC S/ FIO</t>
        </is>
      </c>
      <c r="E116" s="58" t="inlineStr">
        <is>
          <t>4350033641</t>
        </is>
      </c>
      <c r="F116" s="58" t="inlineStr"/>
      <c r="G116" s="58" t="inlineStr">
        <is>
          <t>DISPONIVEL</t>
        </is>
      </c>
      <c r="H116" s="58" t="inlineStr">
        <is>
          <t>USADO</t>
        </is>
      </c>
      <c r="I116" s="103" t="inlineStr">
        <is>
          <t>★★★☆☆</t>
        </is>
      </c>
      <c r="J116" s="142" t="n">
        <v>995</v>
      </c>
      <c r="K116" s="143" t="n">
        <v>995</v>
      </c>
      <c r="L116" s="98">
        <f>IF(J116&gt;0,(J116-K116)/J116,"")</f>
        <v/>
      </c>
      <c r="M116" s="99" t="inlineStr"/>
    </row>
    <row r="117" ht="22" customHeight="1">
      <c r="A117" s="110" t="inlineStr">
        <is>
          <t>MMD-AUD-0089</t>
        </is>
      </c>
      <c r="B117" s="79" t="inlineStr">
        <is>
          <t>Beta 58A + GLXD2 Z2</t>
        </is>
      </c>
      <c r="C117" s="53" t="inlineStr">
        <is>
          <t>Shure</t>
        </is>
      </c>
      <c r="D117" s="53" t="inlineStr">
        <is>
          <t>MIC S/ FIO</t>
        </is>
      </c>
      <c r="E117" s="53" t="inlineStr">
        <is>
          <t>3QI0721297</t>
        </is>
      </c>
      <c r="F117" s="53" t="inlineStr"/>
      <c r="G117" s="53" t="inlineStr">
        <is>
          <t>DISPONIVEL</t>
        </is>
      </c>
      <c r="H117" s="53" t="inlineStr">
        <is>
          <t>USADO</t>
        </is>
      </c>
      <c r="I117" s="103" t="inlineStr">
        <is>
          <t>★★★☆☆</t>
        </is>
      </c>
      <c r="J117" s="141" t="n">
        <v>1308.5</v>
      </c>
      <c r="K117" s="143" t="n">
        <v>4129</v>
      </c>
      <c r="L117" s="101">
        <f>IF(J117&gt;0,(J117-K117)/J117,"")</f>
        <v/>
      </c>
      <c r="M117" s="102" t="inlineStr"/>
    </row>
    <row r="118" ht="22" customHeight="1">
      <c r="A118" s="59" t="inlineStr">
        <is>
          <t>MMD-AUD-0090</t>
        </is>
      </c>
      <c r="B118" s="75" t="inlineStr">
        <is>
          <t>EW100 G3 - Freq G</t>
        </is>
      </c>
      <c r="C118" s="58" t="inlineStr">
        <is>
          <t>Sennheiser</t>
        </is>
      </c>
      <c r="D118" s="58" t="inlineStr">
        <is>
          <t>MIC S/ FIO</t>
        </is>
      </c>
      <c r="E118" s="58" t="inlineStr">
        <is>
          <t>0232000163</t>
        </is>
      </c>
      <c r="F118" s="58" t="inlineStr"/>
      <c r="G118" s="58" t="inlineStr">
        <is>
          <t>DISPONIVEL</t>
        </is>
      </c>
      <c r="H118" s="58" t="inlineStr">
        <is>
          <t>USADO</t>
        </is>
      </c>
      <c r="I118" s="103" t="inlineStr">
        <is>
          <t>★★★☆☆</t>
        </is>
      </c>
      <c r="J118" s="142" t="n">
        <v>2250</v>
      </c>
      <c r="K118" s="143" t="n">
        <v>979</v>
      </c>
      <c r="L118" s="98">
        <f>IF(J118&gt;0,(J118-K118)/J118,"")</f>
        <v/>
      </c>
      <c r="M118" s="99" t="inlineStr"/>
    </row>
    <row r="119" ht="22" customHeight="1">
      <c r="A119" s="110" t="inlineStr">
        <is>
          <t>MMD-AUD-0091</t>
        </is>
      </c>
      <c r="B119" s="79" t="inlineStr">
        <is>
          <t>SKM100 G3 - Freq E</t>
        </is>
      </c>
      <c r="C119" s="53" t="inlineStr">
        <is>
          <t>Sennheiser</t>
        </is>
      </c>
      <c r="D119" s="53" t="inlineStr">
        <is>
          <t>MIC S/ FIO</t>
        </is>
      </c>
      <c r="E119" s="53" t="inlineStr">
        <is>
          <t>416900670</t>
        </is>
      </c>
      <c r="F119" s="53" t="inlineStr"/>
      <c r="G119" s="53" t="inlineStr">
        <is>
          <t>DISPONIVEL</t>
        </is>
      </c>
      <c r="H119" s="53" t="inlineStr">
        <is>
          <t>USADO</t>
        </is>
      </c>
      <c r="I119" s="103" t="inlineStr">
        <is>
          <t>★★★☆☆</t>
        </is>
      </c>
      <c r="J119" s="141" t="n">
        <v>2750</v>
      </c>
      <c r="K119" s="143" t="n">
        <v>979</v>
      </c>
      <c r="L119" s="101">
        <f>IF(J119&gt;0,(J119-K119)/J119,"")</f>
        <v/>
      </c>
      <c r="M119" s="102" t="inlineStr"/>
    </row>
    <row r="120" ht="22" customHeight="1">
      <c r="A120" s="59" t="inlineStr">
        <is>
          <t>MMD-AUD-0092</t>
        </is>
      </c>
      <c r="B120" s="75" t="inlineStr">
        <is>
          <t>SKM100 G3 - Freq G</t>
        </is>
      </c>
      <c r="C120" s="58" t="inlineStr">
        <is>
          <t>Sennheiser</t>
        </is>
      </c>
      <c r="D120" s="58" t="inlineStr">
        <is>
          <t>MIC S/ FIO</t>
        </is>
      </c>
      <c r="E120" s="58" t="inlineStr">
        <is>
          <t>4352014009</t>
        </is>
      </c>
      <c r="F120" s="58" t="inlineStr"/>
      <c r="G120" s="58" t="inlineStr">
        <is>
          <t>DISPONIVEL</t>
        </is>
      </c>
      <c r="H120" s="58" t="inlineStr">
        <is>
          <t>USADO</t>
        </is>
      </c>
      <c r="I120" s="103" t="inlineStr">
        <is>
          <t>★★★☆☆</t>
        </is>
      </c>
      <c r="J120" s="142" t="n">
        <v>2750</v>
      </c>
      <c r="K120" s="143" t="n">
        <v>2750</v>
      </c>
      <c r="L120" s="98">
        <f>IF(J120&gt;0,(J120-K120)/J120,"")</f>
        <v/>
      </c>
      <c r="M120" s="99" t="inlineStr"/>
    </row>
    <row r="121" ht="22" customHeight="1">
      <c r="A121" s="110" t="inlineStr">
        <is>
          <t>MMD-AUD-0093</t>
        </is>
      </c>
      <c r="B121" s="79" t="inlineStr">
        <is>
          <t>SKM100 G4 - Freq G</t>
        </is>
      </c>
      <c r="C121" s="53" t="inlineStr">
        <is>
          <t>Sennheiser</t>
        </is>
      </c>
      <c r="D121" s="53" t="inlineStr">
        <is>
          <t>MIC S/ FIO</t>
        </is>
      </c>
      <c r="E121" s="53" t="inlineStr">
        <is>
          <t>4278001136</t>
        </is>
      </c>
      <c r="F121" s="53" t="inlineStr"/>
      <c r="G121" s="53" t="inlineStr">
        <is>
          <t>DISPONIVEL</t>
        </is>
      </c>
      <c r="H121" s="53" t="inlineStr">
        <is>
          <t>USADO</t>
        </is>
      </c>
      <c r="I121" s="103" t="inlineStr">
        <is>
          <t>★★★☆☆</t>
        </is>
      </c>
      <c r="J121" s="141" t="n">
        <v>2250</v>
      </c>
      <c r="K121" s="143" t="n">
        <v>2250</v>
      </c>
      <c r="L121" s="101">
        <f>IF(J121&gt;0,(J121-K121)/J121,"")</f>
        <v/>
      </c>
      <c r="M121" s="102" t="inlineStr"/>
    </row>
    <row r="122" ht="22" customHeight="1">
      <c r="A122" s="59" t="inlineStr">
        <is>
          <t>MMD-AUD-0094</t>
        </is>
      </c>
      <c r="B122" s="75" t="inlineStr">
        <is>
          <t>SKM35 - Freq. G</t>
        </is>
      </c>
      <c r="C122" s="58" t="inlineStr">
        <is>
          <t>Sennheiser</t>
        </is>
      </c>
      <c r="D122" s="58" t="inlineStr">
        <is>
          <t>MIC S/ FIO</t>
        </is>
      </c>
      <c r="E122" s="58" t="inlineStr">
        <is>
          <t>0232000163</t>
        </is>
      </c>
      <c r="F122" s="58" t="inlineStr"/>
      <c r="G122" s="58" t="inlineStr">
        <is>
          <t>DISPONIVEL</t>
        </is>
      </c>
      <c r="H122" s="58" t="inlineStr">
        <is>
          <t>USADO</t>
        </is>
      </c>
      <c r="I122" s="103" t="inlineStr">
        <is>
          <t>★★★☆☆</t>
        </is>
      </c>
      <c r="J122" s="142" t="n">
        <v>2250</v>
      </c>
      <c r="K122" s="143" t="n">
        <v>1247.5</v>
      </c>
      <c r="L122" s="98">
        <f>IF(J122&gt;0,(J122-K122)/J122,"")</f>
        <v/>
      </c>
      <c r="M122" s="99" t="inlineStr"/>
    </row>
    <row r="123" ht="22" customHeight="1">
      <c r="A123" s="110" t="inlineStr">
        <is>
          <t>MMD-AUD-0095</t>
        </is>
      </c>
      <c r="B123" s="79" t="inlineStr">
        <is>
          <t>T2 Wireless Transmitter - Freq. CF</t>
        </is>
      </c>
      <c r="C123" s="53" t="inlineStr">
        <is>
          <t>Shure</t>
        </is>
      </c>
      <c r="D123" s="53" t="inlineStr">
        <is>
          <t>MIC S/ FIO</t>
        </is>
      </c>
      <c r="E123" s="53" t="inlineStr">
        <is>
          <t>0123980263</t>
        </is>
      </c>
      <c r="F123" s="53" t="inlineStr"/>
      <c r="G123" s="53" t="inlineStr">
        <is>
          <t>DISPONIVEL</t>
        </is>
      </c>
      <c r="H123" s="53" t="inlineStr">
        <is>
          <t>USADO</t>
        </is>
      </c>
      <c r="I123" s="103" t="inlineStr">
        <is>
          <t>★★★☆☆</t>
        </is>
      </c>
      <c r="J123" s="141" t="n">
        <v>1308.5</v>
      </c>
      <c r="K123" s="143" t="n">
        <v>334.01</v>
      </c>
      <c r="L123" s="101">
        <f>IF(J123&gt;0,(J123-K123)/J123,"")</f>
        <v/>
      </c>
      <c r="M123" s="102" t="inlineStr"/>
    </row>
    <row r="124" ht="22" customHeight="1">
      <c r="A124" s="59" t="inlineStr">
        <is>
          <t>MMD-AUD-0096</t>
        </is>
      </c>
      <c r="B124" s="75" t="inlineStr">
        <is>
          <t>Sennheiser</t>
        </is>
      </c>
      <c r="C124" s="58" t="inlineStr">
        <is>
          <t>Sennheiser</t>
        </is>
      </c>
      <c r="D124" s="58" t="inlineStr">
        <is>
          <t>MIC S/ FIO</t>
        </is>
      </c>
      <c r="E124" s="58" t="inlineStr"/>
      <c r="F124" s="58" t="inlineStr"/>
      <c r="G124" s="58" t="inlineStr">
        <is>
          <t>DISPONIVEL</t>
        </is>
      </c>
      <c r="H124" s="58" t="inlineStr">
        <is>
          <t>USADO</t>
        </is>
      </c>
      <c r="I124" s="103" t="inlineStr">
        <is>
          <t>★★★☆☆</t>
        </is>
      </c>
      <c r="J124" s="142" t="n">
        <v>1500</v>
      </c>
      <c r="K124" s="143" t="n">
        <v>1500</v>
      </c>
      <c r="L124" s="98">
        <f>IF(J124&gt;0,(J124-K124)/J124,"")</f>
        <v/>
      </c>
      <c r="M124" s="99" t="inlineStr"/>
    </row>
    <row r="125" ht="22" customHeight="1">
      <c r="A125" s="110" t="inlineStr">
        <is>
          <t>MMD-AUD-0097</t>
        </is>
      </c>
      <c r="B125" s="79" t="inlineStr">
        <is>
          <t>Sennheiser</t>
        </is>
      </c>
      <c r="C125" s="53" t="inlineStr">
        <is>
          <t>Sennheiser</t>
        </is>
      </c>
      <c r="D125" s="53" t="inlineStr">
        <is>
          <t>MIC S/ FIO</t>
        </is>
      </c>
      <c r="E125" s="53" t="inlineStr"/>
      <c r="F125" s="53" t="inlineStr"/>
      <c r="G125" s="53" t="inlineStr">
        <is>
          <t>DISPONIVEL</t>
        </is>
      </c>
      <c r="H125" s="53" t="inlineStr">
        <is>
          <t>USADO</t>
        </is>
      </c>
      <c r="I125" s="103" t="inlineStr">
        <is>
          <t>★★★☆☆</t>
        </is>
      </c>
      <c r="J125" s="141" t="n">
        <v>1500</v>
      </c>
      <c r="K125" s="143" t="n">
        <v>1500</v>
      </c>
      <c r="L125" s="101">
        <f>IF(J125&gt;0,(J125-K125)/J125,"")</f>
        <v/>
      </c>
      <c r="M125" s="102" t="inlineStr"/>
    </row>
    <row r="126" ht="22" customHeight="1">
      <c r="A126" s="59" t="inlineStr">
        <is>
          <t>MMD-AUD-0099</t>
        </is>
      </c>
      <c r="B126" s="75" t="inlineStr">
        <is>
          <t>T2 Wireless Transmitter - Freq. CV</t>
        </is>
      </c>
      <c r="C126" s="58" t="inlineStr">
        <is>
          <t>Shure</t>
        </is>
      </c>
      <c r="D126" s="58" t="inlineStr">
        <is>
          <t>MIC S/ FIO</t>
        </is>
      </c>
      <c r="E126" s="58" t="inlineStr">
        <is>
          <t>0510990353</t>
        </is>
      </c>
      <c r="F126" s="58" t="inlineStr"/>
      <c r="G126" s="58" t="inlineStr">
        <is>
          <t>DISPONIVEL</t>
        </is>
      </c>
      <c r="H126" s="58" t="inlineStr">
        <is>
          <t>USADO</t>
        </is>
      </c>
      <c r="I126" s="103" t="inlineStr">
        <is>
          <t>★★★☆☆</t>
        </is>
      </c>
      <c r="J126" s="142" t="n">
        <v>1308.5</v>
      </c>
      <c r="K126" s="143" t="n">
        <v>334.01</v>
      </c>
      <c r="L126" s="98">
        <f>IF(J126&gt;0,(J126-K126)/J126,"")</f>
        <v/>
      </c>
      <c r="M126" s="99" t="inlineStr"/>
    </row>
    <row r="127" ht="22" customHeight="1">
      <c r="A127" s="110" t="inlineStr">
        <is>
          <t>MMD-AUD-0101</t>
        </is>
      </c>
      <c r="B127" s="79" t="inlineStr">
        <is>
          <t>Bodypack Wireless Transmitter R 502-603mhz + Mic Madonna + Mic Lavalier</t>
        </is>
      </c>
      <c r="C127" s="53" t="inlineStr">
        <is>
          <t>Phenyx Pro</t>
        </is>
      </c>
      <c r="D127" s="53" t="inlineStr">
        <is>
          <t>MIC S/ FIO</t>
        </is>
      </c>
      <c r="E127" s="53" t="inlineStr">
        <is>
          <t>2009DJ1618</t>
        </is>
      </c>
      <c r="F127" s="53" t="inlineStr"/>
      <c r="G127" s="53" t="inlineStr">
        <is>
          <t>DISPONIVEL</t>
        </is>
      </c>
      <c r="H127" s="53" t="inlineStr">
        <is>
          <t>USADO</t>
        </is>
      </c>
      <c r="I127" s="103" t="inlineStr">
        <is>
          <t>★★★☆☆</t>
        </is>
      </c>
      <c r="J127" s="141" t="n">
        <v>357</v>
      </c>
      <c r="K127" s="143" t="n">
        <v>357</v>
      </c>
      <c r="L127" s="101">
        <f>IF(J127&gt;0,(J127-K127)/J127,"")</f>
        <v/>
      </c>
      <c r="M127" s="102" t="inlineStr"/>
    </row>
    <row r="128" ht="22" customHeight="1">
      <c r="A128" s="59" t="inlineStr">
        <is>
          <t>MMD-AUD-0102</t>
        </is>
      </c>
      <c r="B128" s="75" t="inlineStr">
        <is>
          <t>Bodypack Wireless Transmitter R 502-603mhz + Mic Madonna + Mic Lavalier</t>
        </is>
      </c>
      <c r="C128" s="58" t="inlineStr">
        <is>
          <t>Phenyx Pro</t>
        </is>
      </c>
      <c r="D128" s="58" t="inlineStr">
        <is>
          <t>MIC S/ FIO</t>
        </is>
      </c>
      <c r="E128" s="58" t="inlineStr"/>
      <c r="F128" s="58" t="inlineStr"/>
      <c r="G128" s="58" t="inlineStr">
        <is>
          <t>DISPONIVEL</t>
        </is>
      </c>
      <c r="H128" s="58" t="inlineStr">
        <is>
          <t>USADO</t>
        </is>
      </c>
      <c r="I128" s="103" t="inlineStr">
        <is>
          <t>★★★☆☆</t>
        </is>
      </c>
      <c r="J128" s="142" t="n">
        <v>357</v>
      </c>
      <c r="K128" s="143" t="n">
        <v>357</v>
      </c>
      <c r="L128" s="98">
        <f>IF(J128&gt;0,(J128-K128)/J128,"")</f>
        <v/>
      </c>
      <c r="M128" s="99" t="inlineStr"/>
    </row>
    <row r="129" ht="36" customHeight="1">
      <c r="A129" s="110" t="inlineStr">
        <is>
          <t>MMD-AUD-0103</t>
        </is>
      </c>
      <c r="B129" s="79" t="inlineStr">
        <is>
          <t>PTU-7000B MADONNA</t>
        </is>
      </c>
      <c r="C129" s="53" t="inlineStr">
        <is>
          <t>Phenyx Pro</t>
        </is>
      </c>
      <c r="D129" s="53" t="inlineStr">
        <is>
          <t>MIC S/ FIO</t>
        </is>
      </c>
      <c r="E129" s="53" t="inlineStr">
        <is>
          <t>X002I3XGCR</t>
        </is>
      </c>
      <c r="F129" s="53" t="inlineStr"/>
      <c r="G129" s="53" t="inlineStr">
        <is>
          <t>DISPONIVEL</t>
        </is>
      </c>
      <c r="H129" s="53" t="inlineStr">
        <is>
          <t>USADO</t>
        </is>
      </c>
      <c r="I129" s="103" t="inlineStr">
        <is>
          <t>★★★☆☆</t>
        </is>
      </c>
      <c r="J129" s="141" t="n">
        <v>263.17</v>
      </c>
      <c r="K129" s="143" t="n">
        <v>263.17</v>
      </c>
      <c r="L129" s="101">
        <f>IF(J129&gt;0,(J129-K129)/J129,"")</f>
        <v/>
      </c>
      <c r="M129" s="102" t="inlineStr">
        <is>
          <t>*BOX COM 04 CHANNEL UHF WIRELESS RECEIVER / 04 ANTENNAS /...</t>
        </is>
      </c>
    </row>
    <row r="130" ht="22" customHeight="1">
      <c r="A130" s="59" t="inlineStr">
        <is>
          <t>MMD-AUD-0104</t>
        </is>
      </c>
      <c r="B130" s="75" t="inlineStr">
        <is>
          <t>MICROFONE SEM FIO PHENYX PRO</t>
        </is>
      </c>
      <c r="C130" s="58" t="inlineStr">
        <is>
          <t>Phenyx Pro</t>
        </is>
      </c>
      <c r="D130" s="58" t="inlineStr">
        <is>
          <t>MIC S/ FIO</t>
        </is>
      </c>
      <c r="E130" s="58" t="inlineStr"/>
      <c r="F130" s="58" t="inlineStr"/>
      <c r="G130" s="58" t="inlineStr">
        <is>
          <t>DISPONIVEL</t>
        </is>
      </c>
      <c r="H130" s="58" t="inlineStr">
        <is>
          <t>USADO</t>
        </is>
      </c>
      <c r="I130" s="103" t="inlineStr">
        <is>
          <t>★★★☆☆</t>
        </is>
      </c>
      <c r="J130" s="142" t="n">
        <v>357</v>
      </c>
      <c r="K130" s="143" t="n">
        <v>357</v>
      </c>
      <c r="L130" s="98">
        <f>IF(J130&gt;0,(J130-K130)/J130,"")</f>
        <v/>
      </c>
      <c r="M130" s="99" t="inlineStr"/>
    </row>
    <row r="131" ht="22" customHeight="1">
      <c r="A131" s="110" t="inlineStr">
        <is>
          <t>MMD-AUD-0105</t>
        </is>
      </c>
      <c r="B131" s="79" t="inlineStr">
        <is>
          <t>Microfone bastão Freq range 502-603Mhz</t>
        </is>
      </c>
      <c r="C131" s="53" t="inlineStr">
        <is>
          <t>Phenyx Pro</t>
        </is>
      </c>
      <c r="D131" s="53" t="inlineStr">
        <is>
          <t>MIC S/ FIO</t>
        </is>
      </c>
      <c r="E131" s="53" t="inlineStr"/>
      <c r="F131" s="53" t="inlineStr"/>
      <c r="G131" s="53" t="inlineStr">
        <is>
          <t>DISPONIVEL</t>
        </is>
      </c>
      <c r="H131" s="53" t="inlineStr">
        <is>
          <t>USADO</t>
        </is>
      </c>
      <c r="I131" s="103" t="inlineStr">
        <is>
          <t>★★★☆☆</t>
        </is>
      </c>
      <c r="J131" s="141" t="n">
        <v>357</v>
      </c>
      <c r="K131" s="143" t="n">
        <v>357</v>
      </c>
      <c r="L131" s="101">
        <f>IF(J131&gt;0,(J131-K131)/J131,"")</f>
        <v/>
      </c>
      <c r="M131" s="102" t="inlineStr"/>
    </row>
    <row r="132" ht="22" customHeight="1">
      <c r="A132" s="59" t="inlineStr">
        <is>
          <t>MMD-AUD-0106</t>
        </is>
      </c>
      <c r="B132" s="75" t="inlineStr">
        <is>
          <t>Microfone bastão Freq range 502-603Mhz</t>
        </is>
      </c>
      <c r="C132" s="58" t="inlineStr">
        <is>
          <t>Phenyx Pro</t>
        </is>
      </c>
      <c r="D132" s="58" t="inlineStr">
        <is>
          <t>MIC S/ FIO</t>
        </is>
      </c>
      <c r="E132" s="58" t="inlineStr"/>
      <c r="F132" s="58" t="inlineStr"/>
      <c r="G132" s="58" t="inlineStr">
        <is>
          <t>DISPONIVEL</t>
        </is>
      </c>
      <c r="H132" s="58" t="inlineStr">
        <is>
          <t>USADO</t>
        </is>
      </c>
      <c r="I132" s="103" t="inlineStr">
        <is>
          <t>★★★☆☆</t>
        </is>
      </c>
      <c r="J132" s="142" t="n">
        <v>357</v>
      </c>
      <c r="K132" s="143" t="n">
        <v>357</v>
      </c>
      <c r="L132" s="98">
        <f>IF(J132&gt;0,(J132-K132)/J132,"")</f>
        <v/>
      </c>
      <c r="M132" s="99" t="inlineStr"/>
    </row>
    <row r="133" ht="24" customHeight="1">
      <c r="A133" s="108" t="inlineStr">
        <is>
          <t xml:space="preserve">  MIXER  (1)</t>
        </is>
      </c>
    </row>
    <row r="134" ht="22" customHeight="1">
      <c r="A134" s="110" t="inlineStr">
        <is>
          <t>MMD-AUD-0107</t>
        </is>
      </c>
      <c r="B134" s="79" t="inlineStr">
        <is>
          <t>DJM-400</t>
        </is>
      </c>
      <c r="C134" s="53" t="inlineStr">
        <is>
          <t>Pioneer</t>
        </is>
      </c>
      <c r="D134" s="53" t="inlineStr">
        <is>
          <t>MIXER</t>
        </is>
      </c>
      <c r="E134" s="53" t="inlineStr">
        <is>
          <t>JCMP013386LL</t>
        </is>
      </c>
      <c r="F134" s="53" t="inlineStr"/>
      <c r="G134" s="53" t="inlineStr">
        <is>
          <t>DISPONIVEL</t>
        </is>
      </c>
      <c r="H134" s="53" t="inlineStr">
        <is>
          <t>USADO</t>
        </is>
      </c>
      <c r="I134" s="103" t="inlineStr">
        <is>
          <t>★★★☆☆</t>
        </is>
      </c>
      <c r="J134" s="141" t="n">
        <v>3500</v>
      </c>
      <c r="K134" s="143" t="n">
        <v>1700</v>
      </c>
      <c r="L134" s="101">
        <f>IF(J134&gt;0,(J134-K134)/J134,"")</f>
        <v/>
      </c>
      <c r="M134" s="102" t="inlineStr"/>
    </row>
    <row r="135" ht="24" customHeight="1">
      <c r="A135" s="108" t="inlineStr">
        <is>
          <t xml:space="preserve">  MUSIC PLAYER  (1)</t>
        </is>
      </c>
    </row>
    <row r="136" ht="22" customHeight="1">
      <c r="A136" s="59" t="inlineStr">
        <is>
          <t>MMD-AUD-0108</t>
        </is>
      </c>
      <c r="B136" s="75" t="inlineStr">
        <is>
          <t>KONTROL X1 MK2</t>
        </is>
      </c>
      <c r="C136" s="58" t="inlineStr">
        <is>
          <t>Traktor</t>
        </is>
      </c>
      <c r="D136" s="58" t="inlineStr">
        <is>
          <t>MUSIC PLAYER</t>
        </is>
      </c>
      <c r="E136" s="58" t="inlineStr">
        <is>
          <t>KX118461549709AA</t>
        </is>
      </c>
      <c r="F136" s="58" t="inlineStr"/>
      <c r="G136" s="58" t="inlineStr">
        <is>
          <t>DISPONIVEL</t>
        </is>
      </c>
      <c r="H136" s="58" t="inlineStr">
        <is>
          <t>SEMI_NOVO</t>
        </is>
      </c>
      <c r="I136" s="112" t="inlineStr">
        <is>
          <t>★★★★☆</t>
        </is>
      </c>
      <c r="J136" s="142" t="n">
        <v>3554</v>
      </c>
      <c r="K136" s="143" t="n">
        <v>1924.19</v>
      </c>
      <c r="L136" s="98">
        <f>IF(J136&gt;0,(J136-K136)/J136,"")</f>
        <v/>
      </c>
      <c r="M136" s="99" t="inlineStr"/>
    </row>
    <row r="137" ht="24" customHeight="1">
      <c r="A137" s="108" t="inlineStr">
        <is>
          <t xml:space="preserve">  PROC AUDIO  (1)</t>
        </is>
      </c>
    </row>
    <row r="138" ht="22" customHeight="1">
      <c r="A138" s="110" t="inlineStr">
        <is>
          <t>MMD-AUD-0109</t>
        </is>
      </c>
      <c r="B138" s="79" t="inlineStr">
        <is>
          <t>VENUE 360</t>
        </is>
      </c>
      <c r="C138" s="53" t="inlineStr">
        <is>
          <t>DBX</t>
        </is>
      </c>
      <c r="D138" s="53" t="inlineStr">
        <is>
          <t>PROC AUDIO</t>
        </is>
      </c>
      <c r="E138" s="53" t="inlineStr"/>
      <c r="F138" s="53" t="inlineStr"/>
      <c r="G138" s="53" t="inlineStr">
        <is>
          <t>DISPONIVEL</t>
        </is>
      </c>
      <c r="H138" s="53" t="inlineStr">
        <is>
          <t>USADO</t>
        </is>
      </c>
      <c r="I138" s="95" t="inlineStr">
        <is>
          <t>★★☆☆☆</t>
        </is>
      </c>
      <c r="J138" s="141" t="n">
        <v>4598</v>
      </c>
      <c r="K138" s="143" t="n">
        <v>3267</v>
      </c>
      <c r="L138" s="101">
        <f>IF(J138&gt;0,(J138-K138)/J138,"")</f>
        <v/>
      </c>
      <c r="M138" s="102" t="inlineStr"/>
    </row>
    <row r="139" ht="24" customHeight="1">
      <c r="A139" s="108" t="inlineStr">
        <is>
          <t xml:space="preserve">  RECEPTOR DE ANTENA  (1)</t>
        </is>
      </c>
    </row>
    <row r="140" ht="22" customHeight="1">
      <c r="A140" s="59" t="inlineStr">
        <is>
          <t>MMD-AUD-0110</t>
        </is>
      </c>
      <c r="B140" s="75" t="inlineStr">
        <is>
          <t>pas 225</t>
        </is>
      </c>
      <c r="C140" s="58" t="inlineStr">
        <is>
          <t>Phenyx Pro</t>
        </is>
      </c>
      <c r="D140" s="58" t="inlineStr">
        <is>
          <t>RECEPTOR DE ANTENA</t>
        </is>
      </c>
      <c r="E140" s="58" t="inlineStr">
        <is>
          <t>ATSY226948</t>
        </is>
      </c>
      <c r="F140" s="58" t="inlineStr"/>
      <c r="G140" s="58" t="inlineStr">
        <is>
          <t>DISPONIVEL</t>
        </is>
      </c>
      <c r="H140" s="58" t="inlineStr">
        <is>
          <t>USADO</t>
        </is>
      </c>
      <c r="I140" s="103" t="inlineStr">
        <is>
          <t>★★★☆☆</t>
        </is>
      </c>
      <c r="J140" s="142" t="n">
        <v>790</v>
      </c>
      <c r="K140" s="143" t="n">
        <v>995</v>
      </c>
      <c r="L140" s="98">
        <f>IF(J140&gt;0,(J140-K140)/J140,"")</f>
        <v/>
      </c>
      <c r="M140" s="99" t="inlineStr"/>
    </row>
    <row r="141" ht="24" customHeight="1">
      <c r="A141" s="108" t="inlineStr">
        <is>
          <t xml:space="preserve">  RX MIC  (13)</t>
        </is>
      </c>
    </row>
    <row r="142" ht="22" customHeight="1">
      <c r="A142" s="110" t="inlineStr">
        <is>
          <t>MMD-AUD-0111</t>
        </is>
      </c>
      <c r="B142" s="79" t="inlineStr">
        <is>
          <t>4448005984.0</t>
        </is>
      </c>
      <c r="C142" s="53" t="inlineStr">
        <is>
          <t>Sennheiser</t>
        </is>
      </c>
      <c r="D142" s="53" t="inlineStr">
        <is>
          <t>RX MIC</t>
        </is>
      </c>
      <c r="E142" s="53" t="inlineStr">
        <is>
          <t>4278001136</t>
        </is>
      </c>
      <c r="F142" s="53" t="inlineStr"/>
      <c r="G142" s="53" t="inlineStr">
        <is>
          <t>DISPONIVEL</t>
        </is>
      </c>
      <c r="H142" s="53" t="inlineStr">
        <is>
          <t>USADO</t>
        </is>
      </c>
      <c r="I142" s="103" t="inlineStr">
        <is>
          <t>★★★☆☆</t>
        </is>
      </c>
      <c r="J142" s="141" t="n">
        <v>790</v>
      </c>
      <c r="K142" s="143" t="n">
        <v>995</v>
      </c>
      <c r="L142" s="101">
        <f>IF(J142&gt;0,(J142-K142)/J142,"")</f>
        <v/>
      </c>
      <c r="M142" s="102" t="inlineStr"/>
    </row>
    <row r="143" ht="22" customHeight="1">
      <c r="A143" s="59" t="inlineStr">
        <is>
          <t>MMD-AUD-0112</t>
        </is>
      </c>
      <c r="B143" s="75" t="inlineStr">
        <is>
          <t>Evolution Wireless Digital Handheld set - EWD1 Digital c/ 2 ant. + case e fonte</t>
        </is>
      </c>
      <c r="C143" s="58" t="inlineStr">
        <is>
          <t>Sennheiser</t>
        </is>
      </c>
      <c r="D143" s="58" t="inlineStr">
        <is>
          <t>RX MIC</t>
        </is>
      </c>
      <c r="E143" s="58" t="inlineStr">
        <is>
          <t>1148148038</t>
        </is>
      </c>
      <c r="F143" s="58" t="inlineStr"/>
      <c r="G143" s="58" t="inlineStr">
        <is>
          <t>DISPONIVEL</t>
        </is>
      </c>
      <c r="H143" s="58" t="inlineStr">
        <is>
          <t>USADO</t>
        </is>
      </c>
      <c r="I143" s="103" t="inlineStr">
        <is>
          <t>★★★☆☆</t>
        </is>
      </c>
      <c r="J143" s="142" t="n">
        <v>790</v>
      </c>
      <c r="K143" s="143" t="n">
        <v>995</v>
      </c>
      <c r="L143" s="98">
        <f>IF(J143&gt;0,(J143-K143)/J143,"")</f>
        <v/>
      </c>
      <c r="M143" s="99" t="inlineStr"/>
    </row>
    <row r="144" ht="22" customHeight="1">
      <c r="A144" s="110" t="inlineStr">
        <is>
          <t>MMD-AUD-0113</t>
        </is>
      </c>
      <c r="B144" s="79" t="inlineStr">
        <is>
          <t>Receiver - EM100 G3 - Freq A</t>
        </is>
      </c>
      <c r="C144" s="53" t="inlineStr">
        <is>
          <t>Sennheiser</t>
        </is>
      </c>
      <c r="D144" s="53" t="inlineStr">
        <is>
          <t>RX MIC</t>
        </is>
      </c>
      <c r="E144" s="53" t="inlineStr">
        <is>
          <t>4350027437</t>
        </is>
      </c>
      <c r="F144" s="53" t="inlineStr"/>
      <c r="G144" s="53" t="inlineStr">
        <is>
          <t>DISPONIVEL</t>
        </is>
      </c>
      <c r="H144" s="53" t="inlineStr">
        <is>
          <t>USADO</t>
        </is>
      </c>
      <c r="I144" s="103" t="inlineStr">
        <is>
          <t>★★★☆☆</t>
        </is>
      </c>
      <c r="J144" s="141" t="n">
        <v>790</v>
      </c>
      <c r="K144" s="143" t="n">
        <v>790</v>
      </c>
      <c r="L144" s="101">
        <f>IF(J144&gt;0,(J144-K144)/J144,"")</f>
        <v/>
      </c>
      <c r="M144" s="102" t="inlineStr"/>
    </row>
    <row r="145" ht="22" customHeight="1">
      <c r="A145" s="59" t="inlineStr">
        <is>
          <t>MMD-AUD-0114</t>
        </is>
      </c>
      <c r="B145" s="75" t="inlineStr">
        <is>
          <t>Receiver - EM100 G3 - Freq A</t>
        </is>
      </c>
      <c r="C145" s="58" t="inlineStr">
        <is>
          <t>Sennheiser</t>
        </is>
      </c>
      <c r="D145" s="58" t="inlineStr">
        <is>
          <t>RX MIC</t>
        </is>
      </c>
      <c r="E145" s="58" t="inlineStr">
        <is>
          <t>4290025070</t>
        </is>
      </c>
      <c r="F145" s="58" t="inlineStr"/>
      <c r="G145" s="58" t="inlineStr">
        <is>
          <t>DISPONIVEL</t>
        </is>
      </c>
      <c r="H145" s="58" t="inlineStr">
        <is>
          <t>USADO</t>
        </is>
      </c>
      <c r="I145" s="103" t="inlineStr">
        <is>
          <t>★★★☆☆</t>
        </is>
      </c>
      <c r="J145" s="142" t="n">
        <v>790</v>
      </c>
      <c r="K145" s="143" t="n">
        <v>790</v>
      </c>
      <c r="L145" s="98">
        <f>IF(J145&gt;0,(J145-K145)/J145,"")</f>
        <v/>
      </c>
      <c r="M145" s="99" t="inlineStr"/>
    </row>
    <row r="146" ht="22" customHeight="1">
      <c r="A146" s="110" t="inlineStr">
        <is>
          <t>MMD-AUD-0115</t>
        </is>
      </c>
      <c r="B146" s="79" t="inlineStr">
        <is>
          <t>Receiver - EM100 G3 - Freq A</t>
        </is>
      </c>
      <c r="C146" s="53" t="inlineStr">
        <is>
          <t>Sennheiser</t>
        </is>
      </c>
      <c r="D146" s="53" t="inlineStr">
        <is>
          <t>RX MIC</t>
        </is>
      </c>
      <c r="E146" s="53" t="inlineStr">
        <is>
          <t>4290024905</t>
        </is>
      </c>
      <c r="F146" s="53" t="inlineStr"/>
      <c r="G146" s="53" t="inlineStr">
        <is>
          <t>DISPONIVEL</t>
        </is>
      </c>
      <c r="H146" s="53" t="inlineStr">
        <is>
          <t>USADO</t>
        </is>
      </c>
      <c r="I146" s="103" t="inlineStr">
        <is>
          <t>★★★☆☆</t>
        </is>
      </c>
      <c r="J146" s="141" t="n">
        <v>790</v>
      </c>
      <c r="K146" s="143" t="n">
        <v>790</v>
      </c>
      <c r="L146" s="101">
        <f>IF(J146&gt;0,(J146-K146)/J146,"")</f>
        <v/>
      </c>
      <c r="M146" s="102" t="inlineStr"/>
    </row>
    <row r="147" ht="22" customHeight="1">
      <c r="A147" s="59" t="inlineStr">
        <is>
          <t>MMD-AUD-0116</t>
        </is>
      </c>
      <c r="B147" s="75" t="inlineStr">
        <is>
          <t>Receiver - EM100 G3 - Freq E</t>
        </is>
      </c>
      <c r="C147" s="58" t="inlineStr">
        <is>
          <t>Sennheiser</t>
        </is>
      </c>
      <c r="D147" s="58" t="inlineStr">
        <is>
          <t>RX MIC</t>
        </is>
      </c>
      <c r="E147" s="58" t="inlineStr">
        <is>
          <t>4149001013</t>
        </is>
      </c>
      <c r="F147" s="58" t="inlineStr"/>
      <c r="G147" s="58" t="inlineStr">
        <is>
          <t>DISPONIVEL</t>
        </is>
      </c>
      <c r="H147" s="58" t="inlineStr">
        <is>
          <t>USADO</t>
        </is>
      </c>
      <c r="I147" s="103" t="inlineStr">
        <is>
          <t>★★★☆☆</t>
        </is>
      </c>
      <c r="J147" s="142" t="n">
        <v>790</v>
      </c>
      <c r="K147" s="143" t="n">
        <v>790</v>
      </c>
      <c r="L147" s="98">
        <f>IF(J147&gt;0,(J147-K147)/J147,"")</f>
        <v/>
      </c>
      <c r="M147" s="99" t="inlineStr"/>
    </row>
    <row r="148" ht="22" customHeight="1">
      <c r="A148" s="110" t="inlineStr">
        <is>
          <t>MMD-AUD-0117</t>
        </is>
      </c>
      <c r="B148" s="79" t="inlineStr">
        <is>
          <t>Receiver - EM100 G3 - Freq G</t>
        </is>
      </c>
      <c r="C148" s="53" t="inlineStr">
        <is>
          <t>Sennheiser</t>
        </is>
      </c>
      <c r="D148" s="53" t="inlineStr">
        <is>
          <t>RX MIC</t>
        </is>
      </c>
      <c r="E148" s="53" t="inlineStr">
        <is>
          <t>4300013224</t>
        </is>
      </c>
      <c r="F148" s="53" t="inlineStr"/>
      <c r="G148" s="53" t="inlineStr">
        <is>
          <t>DISPONIVEL</t>
        </is>
      </c>
      <c r="H148" s="53" t="inlineStr">
        <is>
          <t>USADO</t>
        </is>
      </c>
      <c r="I148" s="103" t="inlineStr">
        <is>
          <t>★★★☆☆</t>
        </is>
      </c>
      <c r="J148" s="141" t="n">
        <v>790</v>
      </c>
      <c r="K148" s="143" t="n">
        <v>995</v>
      </c>
      <c r="L148" s="101">
        <f>IF(J148&gt;0,(J148-K148)/J148,"")</f>
        <v/>
      </c>
      <c r="M148" s="102" t="inlineStr"/>
    </row>
    <row r="149" ht="22" customHeight="1">
      <c r="A149" s="59" t="inlineStr">
        <is>
          <t>MMD-AUD-0118</t>
        </is>
      </c>
      <c r="B149" s="75" t="inlineStr">
        <is>
          <t>Receiver - EM100 G3 - Freq G</t>
        </is>
      </c>
      <c r="C149" s="58" t="inlineStr">
        <is>
          <t>Sennheiser</t>
        </is>
      </c>
      <c r="D149" s="58" t="inlineStr">
        <is>
          <t>RX MIC</t>
        </is>
      </c>
      <c r="E149" s="58" t="inlineStr">
        <is>
          <t>4300013222</t>
        </is>
      </c>
      <c r="F149" s="58" t="inlineStr"/>
      <c r="G149" s="58" t="inlineStr">
        <is>
          <t>DISPONIVEL</t>
        </is>
      </c>
      <c r="H149" s="58" t="inlineStr">
        <is>
          <t>USADO</t>
        </is>
      </c>
      <c r="I149" s="103" t="inlineStr">
        <is>
          <t>★★★☆☆</t>
        </is>
      </c>
      <c r="J149" s="142" t="n">
        <v>790</v>
      </c>
      <c r="K149" s="143" t="n">
        <v>995</v>
      </c>
      <c r="L149" s="98">
        <f>IF(J149&gt;0,(J149-K149)/J149,"")</f>
        <v/>
      </c>
      <c r="M149" s="99" t="inlineStr"/>
    </row>
    <row r="150" ht="22" customHeight="1">
      <c r="A150" s="110" t="inlineStr">
        <is>
          <t>MMD-AUD-0119</t>
        </is>
      </c>
      <c r="B150" s="79" t="inlineStr">
        <is>
          <t>Receiver Wireless EK100 G3</t>
        </is>
      </c>
      <c r="C150" s="53" t="inlineStr">
        <is>
          <t>Sennheiser</t>
        </is>
      </c>
      <c r="D150" s="53" t="inlineStr">
        <is>
          <t>RX MIC</t>
        </is>
      </c>
      <c r="E150" s="53" t="inlineStr">
        <is>
          <t>4372014549</t>
        </is>
      </c>
      <c r="F150" s="53" t="inlineStr"/>
      <c r="G150" s="53" t="inlineStr">
        <is>
          <t>DISPONIVEL</t>
        </is>
      </c>
      <c r="H150" s="53" t="inlineStr">
        <is>
          <t>USADO</t>
        </is>
      </c>
      <c r="I150" s="103" t="inlineStr">
        <is>
          <t>★★★☆☆</t>
        </is>
      </c>
      <c r="J150" s="141" t="n">
        <v>1185</v>
      </c>
      <c r="K150" s="143" t="n">
        <v>995</v>
      </c>
      <c r="L150" s="101">
        <f>IF(J150&gt;0,(J150-K150)/J150,"")</f>
        <v/>
      </c>
      <c r="M150" s="102" t="inlineStr"/>
    </row>
    <row r="151" ht="22" customHeight="1">
      <c r="A151" s="59" t="inlineStr">
        <is>
          <t>MMD-AUD-0120</t>
        </is>
      </c>
      <c r="B151" s="75" t="inlineStr">
        <is>
          <t>T4V Diversity Receiver</t>
        </is>
      </c>
      <c r="C151" s="58" t="inlineStr">
        <is>
          <t>Shure</t>
        </is>
      </c>
      <c r="D151" s="58" t="inlineStr">
        <is>
          <t>RX MIC</t>
        </is>
      </c>
      <c r="E151" s="58" t="inlineStr">
        <is>
          <t>0123960263</t>
        </is>
      </c>
      <c r="F151" s="58" t="inlineStr"/>
      <c r="G151" s="58" t="inlineStr">
        <is>
          <t>DISPONIVEL</t>
        </is>
      </c>
      <c r="H151" s="58" t="inlineStr">
        <is>
          <t>USADO</t>
        </is>
      </c>
      <c r="I151" s="103" t="inlineStr">
        <is>
          <t>★★★☆☆</t>
        </is>
      </c>
      <c r="J151" s="142" t="n">
        <v>237</v>
      </c>
      <c r="K151" s="143" t="n">
        <v>360.87</v>
      </c>
      <c r="L151" s="98">
        <f>IF(J151&gt;0,(J151-K151)/J151,"")</f>
        <v/>
      </c>
      <c r="M151" s="99" t="inlineStr"/>
    </row>
    <row r="152" ht="22" customHeight="1">
      <c r="A152" s="110" t="inlineStr">
        <is>
          <t>MMD-AUD-0121</t>
        </is>
      </c>
      <c r="B152" s="79" t="inlineStr">
        <is>
          <t>T4V Diversity Receiver</t>
        </is>
      </c>
      <c r="C152" s="53" t="inlineStr">
        <is>
          <t>Shure</t>
        </is>
      </c>
      <c r="D152" s="53" t="inlineStr">
        <is>
          <t>RX MIC</t>
        </is>
      </c>
      <c r="E152" s="53" t="inlineStr">
        <is>
          <t>0819964095</t>
        </is>
      </c>
      <c r="F152" s="53" t="inlineStr"/>
      <c r="G152" s="53" t="inlineStr">
        <is>
          <t>DISPONIVEL</t>
        </is>
      </c>
      <c r="H152" s="53" t="inlineStr">
        <is>
          <t>USADO</t>
        </is>
      </c>
      <c r="I152" s="103" t="inlineStr">
        <is>
          <t>★★★☆☆</t>
        </is>
      </c>
      <c r="J152" s="141" t="n">
        <v>237</v>
      </c>
      <c r="K152" s="143" t="n">
        <v>360.87</v>
      </c>
      <c r="L152" s="101">
        <f>IF(J152&gt;0,(J152-K152)/J152,"")</f>
        <v/>
      </c>
      <c r="M152" s="102" t="inlineStr"/>
    </row>
    <row r="153" ht="22" customHeight="1">
      <c r="A153" s="59" t="inlineStr">
        <is>
          <t>MMD-AUD-0122</t>
        </is>
      </c>
      <c r="B153" s="75" t="inlineStr">
        <is>
          <t>VWF650</t>
        </is>
      </c>
      <c r="C153" s="58" t="inlineStr">
        <is>
          <t>Skp-Pro Audio</t>
        </is>
      </c>
      <c r="D153" s="58" t="inlineStr">
        <is>
          <t>RX MIC</t>
        </is>
      </c>
      <c r="E153" s="58" t="inlineStr">
        <is>
          <t>65006022466</t>
        </is>
      </c>
      <c r="F153" s="58" t="inlineStr"/>
      <c r="G153" s="58" t="inlineStr">
        <is>
          <t>DISPONIVEL</t>
        </is>
      </c>
      <c r="H153" s="58" t="inlineStr">
        <is>
          <t>USADO</t>
        </is>
      </c>
      <c r="I153" s="103" t="inlineStr">
        <is>
          <t>★★★☆☆</t>
        </is>
      </c>
      <c r="J153" s="142" t="n">
        <v>790</v>
      </c>
      <c r="K153" s="143" t="n">
        <v>995</v>
      </c>
      <c r="L153" s="98">
        <f>IF(J153&gt;0,(J153-K153)/J153,"")</f>
        <v/>
      </c>
      <c r="M153" s="99" t="inlineStr"/>
    </row>
    <row r="154" ht="22" customHeight="1">
      <c r="A154" s="110" t="inlineStr">
        <is>
          <t>MMD-AUD-0123</t>
        </is>
      </c>
      <c r="B154" s="79" t="inlineStr">
        <is>
          <t>XS Wireless EM 10 com duas antenas</t>
        </is>
      </c>
      <c r="C154" s="53" t="inlineStr">
        <is>
          <t>Sennheiser</t>
        </is>
      </c>
      <c r="D154" s="53" t="inlineStr">
        <is>
          <t>RX MIC</t>
        </is>
      </c>
      <c r="E154" s="53" t="inlineStr">
        <is>
          <t>232000161</t>
        </is>
      </c>
      <c r="F154" s="53" t="inlineStr"/>
      <c r="G154" s="53" t="inlineStr">
        <is>
          <t>DISPONIVEL</t>
        </is>
      </c>
      <c r="H154" s="53" t="inlineStr">
        <is>
          <t>USADO</t>
        </is>
      </c>
      <c r="I154" s="103" t="inlineStr">
        <is>
          <t>★★★☆☆</t>
        </is>
      </c>
      <c r="J154" s="141" t="n">
        <v>252.65</v>
      </c>
      <c r="K154" s="143" t="n">
        <v>470.65</v>
      </c>
      <c r="L154" s="101">
        <f>IF(J154&gt;0,(J154-K154)/J154,"")</f>
        <v/>
      </c>
      <c r="M154" s="102" t="inlineStr"/>
    </row>
    <row r="155" ht="24" customHeight="1">
      <c r="A155" s="108" t="inlineStr">
        <is>
          <t xml:space="preserve">  SINTETIZADOR  (2)</t>
        </is>
      </c>
    </row>
    <row r="156" ht="22" customHeight="1">
      <c r="A156" s="59" t="inlineStr">
        <is>
          <t>MMD-AUD-0124</t>
        </is>
      </c>
      <c r="B156" s="75" t="inlineStr">
        <is>
          <t>MINI-KP KAOSS PAD</t>
        </is>
      </c>
      <c r="C156" s="58" t="inlineStr">
        <is>
          <t>Korg</t>
        </is>
      </c>
      <c r="D156" s="58" t="inlineStr">
        <is>
          <t>SINTETIZADOR</t>
        </is>
      </c>
      <c r="E156" s="58" t="inlineStr">
        <is>
          <t>036115</t>
        </is>
      </c>
      <c r="F156" s="58" t="inlineStr"/>
      <c r="G156" s="58" t="inlineStr">
        <is>
          <t>DISPONIVEL</t>
        </is>
      </c>
      <c r="H156" s="58" t="inlineStr">
        <is>
          <t>USADO</t>
        </is>
      </c>
      <c r="I156" s="103" t="inlineStr">
        <is>
          <t>★★★☆☆</t>
        </is>
      </c>
      <c r="J156" s="142" t="n">
        <v>1670</v>
      </c>
      <c r="K156" s="143" t="n">
        <v>1670</v>
      </c>
      <c r="L156" s="98">
        <f>IF(J156&gt;0,(J156-K156)/J156,"")</f>
        <v/>
      </c>
      <c r="M156" s="99" t="inlineStr"/>
    </row>
    <row r="157" ht="22" customHeight="1">
      <c r="A157" s="110" t="inlineStr">
        <is>
          <t>MMD-AUD-0125</t>
        </is>
      </c>
      <c r="B157" s="79" t="inlineStr">
        <is>
          <t>KO-1 KAOSSILATOR</t>
        </is>
      </c>
      <c r="C157" s="53" t="inlineStr">
        <is>
          <t>Korg</t>
        </is>
      </c>
      <c r="D157" s="53" t="inlineStr">
        <is>
          <t>SINTETIZADOR</t>
        </is>
      </c>
      <c r="E157" s="53" t="inlineStr">
        <is>
          <t>082721</t>
        </is>
      </c>
      <c r="F157" s="53" t="inlineStr"/>
      <c r="G157" s="53" t="inlineStr">
        <is>
          <t>DISPONIVEL</t>
        </is>
      </c>
      <c r="H157" s="53" t="inlineStr">
        <is>
          <t>USADO</t>
        </is>
      </c>
      <c r="I157" s="103" t="inlineStr">
        <is>
          <t>★★★☆☆</t>
        </is>
      </c>
      <c r="J157" s="141" t="n">
        <v>1670</v>
      </c>
      <c r="K157" s="143" t="n">
        <v>1670</v>
      </c>
      <c r="L157" s="101">
        <f>IF(J157&gt;0,(J157-K157)/J157,"")</f>
        <v/>
      </c>
      <c r="M157" s="102" t="inlineStr"/>
    </row>
    <row r="158" ht="24" customHeight="1">
      <c r="A158" s="108" t="inlineStr">
        <is>
          <t xml:space="preserve">  SUB  (5)</t>
        </is>
      </c>
    </row>
    <row r="159" ht="22" customHeight="1">
      <c r="A159" s="59" t="inlineStr">
        <is>
          <t>MMD-AUD-0126</t>
        </is>
      </c>
      <c r="B159" s="75" t="inlineStr">
        <is>
          <t>KW181</t>
        </is>
      </c>
      <c r="C159" s="58" t="inlineStr">
        <is>
          <t>QSC</t>
        </is>
      </c>
      <c r="D159" s="58" t="inlineStr">
        <is>
          <t>SUB</t>
        </is>
      </c>
      <c r="E159" s="58" t="inlineStr">
        <is>
          <t>G3518006N</t>
        </is>
      </c>
      <c r="F159" s="58" t="inlineStr"/>
      <c r="G159" s="58" t="inlineStr">
        <is>
          <t>DISPONIVEL</t>
        </is>
      </c>
      <c r="H159" s="58" t="inlineStr">
        <is>
          <t>SEMI_NOVO</t>
        </is>
      </c>
      <c r="I159" s="112" t="inlineStr">
        <is>
          <t>★★★★☆</t>
        </is>
      </c>
      <c r="J159" s="142" t="n">
        <v>13500</v>
      </c>
      <c r="K159" s="143" t="n">
        <v>13500</v>
      </c>
      <c r="L159" s="98">
        <f>IF(J159&gt;0,(J159-K159)/J159,"")</f>
        <v/>
      </c>
      <c r="M159" s="99" t="inlineStr"/>
    </row>
    <row r="160" ht="36" customHeight="1">
      <c r="A160" s="110" t="inlineStr">
        <is>
          <t>MMD-AUD-0127</t>
        </is>
      </c>
      <c r="B160" s="79" t="inlineStr">
        <is>
          <t>8003-AS II 2200W</t>
        </is>
      </c>
      <c r="C160" s="53" t="inlineStr">
        <is>
          <t>RCF</t>
        </is>
      </c>
      <c r="D160" s="53" t="inlineStr">
        <is>
          <t>SUB</t>
        </is>
      </c>
      <c r="E160" s="53" t="inlineStr">
        <is>
          <t>RGXO20173</t>
        </is>
      </c>
      <c r="F160" s="53" t="inlineStr"/>
      <c r="G160" s="53" t="inlineStr">
        <is>
          <t>DISPONIVEL</t>
        </is>
      </c>
      <c r="H160" s="53" t="inlineStr">
        <is>
          <t>SEMI_NOVO</t>
        </is>
      </c>
      <c r="I160" s="112" t="inlineStr">
        <is>
          <t>★★★★☆</t>
        </is>
      </c>
      <c r="J160" s="141" t="n">
        <v>19990</v>
      </c>
      <c r="K160" s="143" t="n">
        <v>26246</v>
      </c>
      <c r="L160" s="101">
        <f>IF(J160&gt;0,(J160-K160)/J160,"")</f>
        <v/>
      </c>
      <c r="M160" s="102" t="inlineStr">
        <is>
          <t>**PRECISO VIRAR POIS É MUITO PESADO</t>
        </is>
      </c>
    </row>
    <row r="161" ht="36" customHeight="1">
      <c r="A161" s="59" t="inlineStr">
        <is>
          <t>MMD-AUD-0128</t>
        </is>
      </c>
      <c r="B161" s="75" t="inlineStr">
        <is>
          <t>18'' - ACTIVE</t>
        </is>
      </c>
      <c r="C161" s="58" t="inlineStr">
        <is>
          <t>Soundbox</t>
        </is>
      </c>
      <c r="D161" s="58" t="inlineStr">
        <is>
          <t>SUB</t>
        </is>
      </c>
      <c r="E161" s="58" t="inlineStr">
        <is>
          <t>005677</t>
        </is>
      </c>
      <c r="F161" s="58" t="inlineStr"/>
      <c r="G161" s="58" t="inlineStr">
        <is>
          <t>DISPONIVEL</t>
        </is>
      </c>
      <c r="H161" s="58" t="inlineStr">
        <is>
          <t>USADO</t>
        </is>
      </c>
      <c r="I161" s="95" t="inlineStr">
        <is>
          <t>★★☆☆☆</t>
        </is>
      </c>
      <c r="J161" s="142" t="n">
        <v>6347.08</v>
      </c>
      <c r="K161" s="143" t="n">
        <v>5095.75</v>
      </c>
      <c r="L161" s="98">
        <f>IF(J161&gt;0,(J161-K161)/J161,"")</f>
        <v/>
      </c>
      <c r="M161" s="99" t="inlineStr">
        <is>
          <t>**ESTAVA SEM PLACA</t>
        </is>
      </c>
    </row>
    <row r="162" ht="22" customHeight="1">
      <c r="A162" s="110" t="inlineStr">
        <is>
          <t>MMD-AUD-0129</t>
        </is>
      </c>
      <c r="B162" s="79" t="inlineStr">
        <is>
          <t>DXS12</t>
        </is>
      </c>
      <c r="C162" s="53" t="inlineStr">
        <is>
          <t>Yamaha</t>
        </is>
      </c>
      <c r="D162" s="53" t="inlineStr">
        <is>
          <t>SUB</t>
        </is>
      </c>
      <c r="E162" s="53" t="inlineStr">
        <is>
          <t>BRAESP01011</t>
        </is>
      </c>
      <c r="F162" s="53" t="inlineStr"/>
      <c r="G162" s="53" t="inlineStr">
        <is>
          <t>DISPONIVEL</t>
        </is>
      </c>
      <c r="H162" s="53" t="inlineStr">
        <is>
          <t>SEMI_NOVO</t>
        </is>
      </c>
      <c r="I162" s="112" t="inlineStr">
        <is>
          <t>★★★★☆</t>
        </is>
      </c>
      <c r="J162" s="141" t="n">
        <v>10300</v>
      </c>
      <c r="K162" s="143" t="n">
        <v>6373.43</v>
      </c>
      <c r="L162" s="101">
        <f>IF(J162&gt;0,(J162-K162)/J162,"")</f>
        <v/>
      </c>
      <c r="M162" s="102" t="inlineStr"/>
    </row>
    <row r="163" ht="36" customHeight="1">
      <c r="A163" s="59" t="inlineStr">
        <is>
          <t>MMD-AUD-0130</t>
        </is>
      </c>
      <c r="B163" s="75" t="inlineStr">
        <is>
          <t>DXS12</t>
        </is>
      </c>
      <c r="C163" s="58" t="inlineStr">
        <is>
          <t>Yamaha</t>
        </is>
      </c>
      <c r="D163" s="58" t="inlineStr">
        <is>
          <t>SUB</t>
        </is>
      </c>
      <c r="E163" s="58" t="inlineStr"/>
      <c r="F163" s="58" t="inlineStr"/>
      <c r="G163" s="58" t="inlineStr">
        <is>
          <t>DISPONIVEL</t>
        </is>
      </c>
      <c r="H163" s="58" t="inlineStr">
        <is>
          <t>USADO</t>
        </is>
      </c>
      <c r="I163" s="95" t="inlineStr">
        <is>
          <t>★★☆☆☆</t>
        </is>
      </c>
      <c r="J163" s="142" t="n">
        <v>10300</v>
      </c>
      <c r="K163" s="143" t="n">
        <v>6373.43</v>
      </c>
      <c r="L163" s="98">
        <f>IF(J163&gt;0,(J163-K163)/J163,"")</f>
        <v/>
      </c>
      <c r="M163" s="99" t="inlineStr">
        <is>
          <t>**ESTAVA SEM PLACA</t>
        </is>
      </c>
    </row>
    <row r="164"/>
    <row r="165" ht="26" customHeight="1">
      <c r="A165" s="104" t="inlineStr">
        <is>
          <t xml:space="preserve">  TOTAL: 125 itens</t>
        </is>
      </c>
      <c r="B165" s="144" t="n"/>
      <c r="C165" s="144" t="n"/>
      <c r="D165" s="144" t="n"/>
      <c r="E165" s="144" t="n"/>
      <c r="F165" s="145" t="n"/>
      <c r="G165" s="105" t="n"/>
      <c r="H165" s="105" t="n"/>
      <c r="I165" s="105" t="n"/>
      <c r="J165" s="106" t="n">
        <v>616854.39</v>
      </c>
      <c r="K165" s="105" t="n"/>
      <c r="L165" s="105" t="n"/>
      <c r="M165" s="105" t="n"/>
    </row>
    <row r="166"/>
    <row r="167" ht="18" customHeight="1">
      <c r="A167" s="34" t="inlineStr">
        <is>
          <t>MMD Eventos  |  Inventario Inteligente  |  03/04/2026</t>
        </is>
      </c>
    </row>
  </sheetData>
  <autoFilter ref="A4:M4"/>
  <mergeCells count="38">
    <mergeCell ref="A5:M5"/>
    <mergeCell ref="A32:M32"/>
    <mergeCell ref="A141:M141"/>
    <mergeCell ref="A135:M135"/>
    <mergeCell ref="A91:M91"/>
    <mergeCell ref="A20:M20"/>
    <mergeCell ref="A63:M63"/>
    <mergeCell ref="A52:M52"/>
    <mergeCell ref="A112:M112"/>
    <mergeCell ref="A102:M102"/>
    <mergeCell ref="A155:M155"/>
    <mergeCell ref="A34:M34"/>
    <mergeCell ref="A167:M167"/>
    <mergeCell ref="A30:M30"/>
    <mergeCell ref="A77:M77"/>
    <mergeCell ref="A15:M15"/>
    <mergeCell ref="A73:M73"/>
    <mergeCell ref="A165:F165"/>
    <mergeCell ref="A82:M82"/>
    <mergeCell ref="A1:M1"/>
    <mergeCell ref="A94:M94"/>
    <mergeCell ref="A110:M110"/>
    <mergeCell ref="A88:M88"/>
    <mergeCell ref="A7:M7"/>
    <mergeCell ref="A25:M25"/>
    <mergeCell ref="A54:M54"/>
    <mergeCell ref="A137:M137"/>
    <mergeCell ref="A84:M84"/>
    <mergeCell ref="A80:M80"/>
    <mergeCell ref="A133:M133"/>
    <mergeCell ref="A27:M27"/>
    <mergeCell ref="A158:M158"/>
    <mergeCell ref="A12:M12"/>
    <mergeCell ref="A18:M18"/>
    <mergeCell ref="A56:M56"/>
    <mergeCell ref="A139:M139"/>
    <mergeCell ref="A104:M104"/>
    <mergeCell ref="A2:M2"/>
  </mergeCells>
  <conditionalFormatting sqref="G5:G367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367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367">
    <cfRule type="expression" priority="12" dxfId="10">
      <formula>I5="★★★★★"</formula>
    </cfRule>
    <cfRule type="expression" priority="13" dxfId="11">
      <formula>I5="★★★★☆"</formula>
    </cfRule>
    <cfRule type="expression" priority="14" dxfId="12">
      <formula>I5="★★★☆☆"</formula>
    </cfRule>
    <cfRule type="expression" priority="15" dxfId="13">
      <formula>I5="★★☆☆☆"</formula>
    </cfRule>
    <cfRule type="expression" priority="16" dxfId="14">
      <formula>I5="★☆☆☆☆"</formula>
    </cfRule>
  </conditionalFormatting>
  <conditionalFormatting sqref="L5:L367">
    <cfRule type="cellIs" priority="17" operator="lessThan" dxfId="0">
      <formula>0.2</formula>
    </cfRule>
    <cfRule type="cellIs" priority="18" operator="between" dxfId="2">
      <formula>0.2</formula>
      <formula>0.4</formula>
    </cfRule>
    <cfRule type="cellIs" priority="19" operator="between" dxfId="15">
      <formula>0.4</formula>
      <formula>0.6</formula>
    </cfRule>
    <cfRule type="cellIs" priority="20" operator="greaterThanOrEqual" dxfId="16">
      <formula>0.6</formula>
    </cfRule>
  </conditionalFormatting>
  <dataValidations count="3">
    <dataValidation sqref="G5:G367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367" showDropDown="0" showInputMessage="0" showErrorMessage="0" allowBlank="1" type="list">
      <formula1>"NOVO,SEMI_NOVO,USADO,RECONDICIONADO"</formula1>
    </dataValidation>
    <dataValidation sqref="I5:I367" showDropDown="0" showInputMessage="0" showErrorMessage="0" allowBlank="1" type="list">
      <formula1>"★☆☆☆☆,★★☆☆☆,★★★☆☆,★★★★☆,★★★★★"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9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6" r:id="rId15"/>
    <hyperlink xmlns:r="http://schemas.openxmlformats.org/officeDocument/2006/relationships" ref="A28" r:id="rId16"/>
    <hyperlink xmlns:r="http://schemas.openxmlformats.org/officeDocument/2006/relationships" ref="A29" r:id="rId17"/>
    <hyperlink xmlns:r="http://schemas.openxmlformats.org/officeDocument/2006/relationships" ref="A31" r:id="rId18"/>
    <hyperlink xmlns:r="http://schemas.openxmlformats.org/officeDocument/2006/relationships" ref="A33" r:id="rId19"/>
    <hyperlink xmlns:r="http://schemas.openxmlformats.org/officeDocument/2006/relationships" ref="A35" r:id="rId20"/>
    <hyperlink xmlns:r="http://schemas.openxmlformats.org/officeDocument/2006/relationships" ref="A36" r:id="rId21"/>
    <hyperlink xmlns:r="http://schemas.openxmlformats.org/officeDocument/2006/relationships" ref="A37" r:id="rId22"/>
    <hyperlink xmlns:r="http://schemas.openxmlformats.org/officeDocument/2006/relationships" ref="A38" r:id="rId23"/>
    <hyperlink xmlns:r="http://schemas.openxmlformats.org/officeDocument/2006/relationships" ref="A39" r:id="rId24"/>
    <hyperlink xmlns:r="http://schemas.openxmlformats.org/officeDocument/2006/relationships" ref="A40" r:id="rId25"/>
    <hyperlink xmlns:r="http://schemas.openxmlformats.org/officeDocument/2006/relationships" ref="A41" r:id="rId26"/>
    <hyperlink xmlns:r="http://schemas.openxmlformats.org/officeDocument/2006/relationships" ref="A42" r:id="rId27"/>
    <hyperlink xmlns:r="http://schemas.openxmlformats.org/officeDocument/2006/relationships" ref="A43" r:id="rId28"/>
    <hyperlink xmlns:r="http://schemas.openxmlformats.org/officeDocument/2006/relationships" ref="A44" r:id="rId29"/>
    <hyperlink xmlns:r="http://schemas.openxmlformats.org/officeDocument/2006/relationships" ref="A45" r:id="rId30"/>
    <hyperlink xmlns:r="http://schemas.openxmlformats.org/officeDocument/2006/relationships" ref="A46" r:id="rId31"/>
    <hyperlink xmlns:r="http://schemas.openxmlformats.org/officeDocument/2006/relationships" ref="A47" r:id="rId32"/>
    <hyperlink xmlns:r="http://schemas.openxmlformats.org/officeDocument/2006/relationships" ref="A48" r:id="rId33"/>
    <hyperlink xmlns:r="http://schemas.openxmlformats.org/officeDocument/2006/relationships" ref="A49" r:id="rId34"/>
    <hyperlink xmlns:r="http://schemas.openxmlformats.org/officeDocument/2006/relationships" ref="A50" r:id="rId35"/>
    <hyperlink xmlns:r="http://schemas.openxmlformats.org/officeDocument/2006/relationships" ref="A51" r:id="rId36"/>
    <hyperlink xmlns:r="http://schemas.openxmlformats.org/officeDocument/2006/relationships" ref="A53" r:id="rId37"/>
    <hyperlink xmlns:r="http://schemas.openxmlformats.org/officeDocument/2006/relationships" ref="A55" r:id="rId38"/>
    <hyperlink xmlns:r="http://schemas.openxmlformats.org/officeDocument/2006/relationships" ref="A57" r:id="rId39"/>
    <hyperlink xmlns:r="http://schemas.openxmlformats.org/officeDocument/2006/relationships" ref="A58" r:id="rId40"/>
    <hyperlink xmlns:r="http://schemas.openxmlformats.org/officeDocument/2006/relationships" ref="A59" r:id="rId41"/>
    <hyperlink xmlns:r="http://schemas.openxmlformats.org/officeDocument/2006/relationships" ref="A60" r:id="rId42"/>
    <hyperlink xmlns:r="http://schemas.openxmlformats.org/officeDocument/2006/relationships" ref="A61" r:id="rId43"/>
    <hyperlink xmlns:r="http://schemas.openxmlformats.org/officeDocument/2006/relationships" ref="A62" r:id="rId44"/>
    <hyperlink xmlns:r="http://schemas.openxmlformats.org/officeDocument/2006/relationships" ref="A64" r:id="rId45"/>
    <hyperlink xmlns:r="http://schemas.openxmlformats.org/officeDocument/2006/relationships" ref="A65" r:id="rId46"/>
    <hyperlink xmlns:r="http://schemas.openxmlformats.org/officeDocument/2006/relationships" ref="A66" r:id="rId47"/>
    <hyperlink xmlns:r="http://schemas.openxmlformats.org/officeDocument/2006/relationships" ref="A67" r:id="rId48"/>
    <hyperlink xmlns:r="http://schemas.openxmlformats.org/officeDocument/2006/relationships" ref="A68" r:id="rId49"/>
    <hyperlink xmlns:r="http://schemas.openxmlformats.org/officeDocument/2006/relationships" ref="A69" r:id="rId50"/>
    <hyperlink xmlns:r="http://schemas.openxmlformats.org/officeDocument/2006/relationships" ref="A70" r:id="rId51"/>
    <hyperlink xmlns:r="http://schemas.openxmlformats.org/officeDocument/2006/relationships" ref="A71" r:id="rId52"/>
    <hyperlink xmlns:r="http://schemas.openxmlformats.org/officeDocument/2006/relationships" ref="A72" r:id="rId53"/>
    <hyperlink xmlns:r="http://schemas.openxmlformats.org/officeDocument/2006/relationships" ref="A74" r:id="rId54"/>
    <hyperlink xmlns:r="http://schemas.openxmlformats.org/officeDocument/2006/relationships" ref="A75" r:id="rId55"/>
    <hyperlink xmlns:r="http://schemas.openxmlformats.org/officeDocument/2006/relationships" ref="A76" r:id="rId56"/>
    <hyperlink xmlns:r="http://schemas.openxmlformats.org/officeDocument/2006/relationships" ref="A78" r:id="rId57"/>
    <hyperlink xmlns:r="http://schemas.openxmlformats.org/officeDocument/2006/relationships" ref="A79" r:id="rId58"/>
    <hyperlink xmlns:r="http://schemas.openxmlformats.org/officeDocument/2006/relationships" ref="A81" r:id="rId59"/>
    <hyperlink xmlns:r="http://schemas.openxmlformats.org/officeDocument/2006/relationships" ref="A83" r:id="rId60"/>
    <hyperlink xmlns:r="http://schemas.openxmlformats.org/officeDocument/2006/relationships" ref="A85" r:id="rId61"/>
    <hyperlink xmlns:r="http://schemas.openxmlformats.org/officeDocument/2006/relationships" ref="A86" r:id="rId62"/>
    <hyperlink xmlns:r="http://schemas.openxmlformats.org/officeDocument/2006/relationships" ref="A87" r:id="rId63"/>
    <hyperlink xmlns:r="http://schemas.openxmlformats.org/officeDocument/2006/relationships" ref="A89" r:id="rId64"/>
    <hyperlink xmlns:r="http://schemas.openxmlformats.org/officeDocument/2006/relationships" ref="A90" r:id="rId65"/>
    <hyperlink xmlns:r="http://schemas.openxmlformats.org/officeDocument/2006/relationships" ref="A92" r:id="rId66"/>
    <hyperlink xmlns:r="http://schemas.openxmlformats.org/officeDocument/2006/relationships" ref="A93" r:id="rId67"/>
    <hyperlink xmlns:r="http://schemas.openxmlformats.org/officeDocument/2006/relationships" ref="A95" r:id="rId68"/>
    <hyperlink xmlns:r="http://schemas.openxmlformats.org/officeDocument/2006/relationships" ref="A96" r:id="rId69"/>
    <hyperlink xmlns:r="http://schemas.openxmlformats.org/officeDocument/2006/relationships" ref="A97" r:id="rId70"/>
    <hyperlink xmlns:r="http://schemas.openxmlformats.org/officeDocument/2006/relationships" ref="A98" r:id="rId71"/>
    <hyperlink xmlns:r="http://schemas.openxmlformats.org/officeDocument/2006/relationships" ref="A99" r:id="rId72"/>
    <hyperlink xmlns:r="http://schemas.openxmlformats.org/officeDocument/2006/relationships" ref="A100" r:id="rId73"/>
    <hyperlink xmlns:r="http://schemas.openxmlformats.org/officeDocument/2006/relationships" ref="A101" r:id="rId74"/>
    <hyperlink xmlns:r="http://schemas.openxmlformats.org/officeDocument/2006/relationships" ref="A103" r:id="rId75"/>
    <hyperlink xmlns:r="http://schemas.openxmlformats.org/officeDocument/2006/relationships" ref="A105" r:id="rId76"/>
    <hyperlink xmlns:r="http://schemas.openxmlformats.org/officeDocument/2006/relationships" ref="A106" r:id="rId77"/>
    <hyperlink xmlns:r="http://schemas.openxmlformats.org/officeDocument/2006/relationships" ref="A107" r:id="rId78"/>
    <hyperlink xmlns:r="http://schemas.openxmlformats.org/officeDocument/2006/relationships" ref="A108" r:id="rId79"/>
    <hyperlink xmlns:r="http://schemas.openxmlformats.org/officeDocument/2006/relationships" ref="A109" r:id="rId80"/>
    <hyperlink xmlns:r="http://schemas.openxmlformats.org/officeDocument/2006/relationships" ref="A111" r:id="rId81"/>
    <hyperlink xmlns:r="http://schemas.openxmlformats.org/officeDocument/2006/relationships" ref="A113" r:id="rId82"/>
    <hyperlink xmlns:r="http://schemas.openxmlformats.org/officeDocument/2006/relationships" ref="A114" r:id="rId83"/>
    <hyperlink xmlns:r="http://schemas.openxmlformats.org/officeDocument/2006/relationships" ref="A115" r:id="rId84"/>
    <hyperlink xmlns:r="http://schemas.openxmlformats.org/officeDocument/2006/relationships" ref="A116" r:id="rId85"/>
    <hyperlink xmlns:r="http://schemas.openxmlformats.org/officeDocument/2006/relationships" ref="A117" r:id="rId86"/>
    <hyperlink xmlns:r="http://schemas.openxmlformats.org/officeDocument/2006/relationships" ref="A118" r:id="rId87"/>
    <hyperlink xmlns:r="http://schemas.openxmlformats.org/officeDocument/2006/relationships" ref="A119" r:id="rId88"/>
    <hyperlink xmlns:r="http://schemas.openxmlformats.org/officeDocument/2006/relationships" ref="A120" r:id="rId89"/>
    <hyperlink xmlns:r="http://schemas.openxmlformats.org/officeDocument/2006/relationships" ref="A121" r:id="rId90"/>
    <hyperlink xmlns:r="http://schemas.openxmlformats.org/officeDocument/2006/relationships" ref="A122" r:id="rId91"/>
    <hyperlink xmlns:r="http://schemas.openxmlformats.org/officeDocument/2006/relationships" ref="A123" r:id="rId92"/>
    <hyperlink xmlns:r="http://schemas.openxmlformats.org/officeDocument/2006/relationships" ref="A124" r:id="rId93"/>
    <hyperlink xmlns:r="http://schemas.openxmlformats.org/officeDocument/2006/relationships" ref="A125" r:id="rId94"/>
    <hyperlink xmlns:r="http://schemas.openxmlformats.org/officeDocument/2006/relationships" ref="A126" r:id="rId95"/>
    <hyperlink xmlns:r="http://schemas.openxmlformats.org/officeDocument/2006/relationships" ref="A127" r:id="rId96"/>
    <hyperlink xmlns:r="http://schemas.openxmlformats.org/officeDocument/2006/relationships" ref="A128" r:id="rId97"/>
    <hyperlink xmlns:r="http://schemas.openxmlformats.org/officeDocument/2006/relationships" ref="A129" r:id="rId98"/>
    <hyperlink xmlns:r="http://schemas.openxmlformats.org/officeDocument/2006/relationships" ref="A130" r:id="rId99"/>
    <hyperlink xmlns:r="http://schemas.openxmlformats.org/officeDocument/2006/relationships" ref="A131" r:id="rId100"/>
    <hyperlink xmlns:r="http://schemas.openxmlformats.org/officeDocument/2006/relationships" ref="A132" r:id="rId101"/>
    <hyperlink xmlns:r="http://schemas.openxmlformats.org/officeDocument/2006/relationships" ref="A134" r:id="rId102"/>
    <hyperlink xmlns:r="http://schemas.openxmlformats.org/officeDocument/2006/relationships" ref="A136" r:id="rId103"/>
    <hyperlink xmlns:r="http://schemas.openxmlformats.org/officeDocument/2006/relationships" ref="A138" r:id="rId104"/>
    <hyperlink xmlns:r="http://schemas.openxmlformats.org/officeDocument/2006/relationships" ref="A140" r:id="rId105"/>
    <hyperlink xmlns:r="http://schemas.openxmlformats.org/officeDocument/2006/relationships" ref="A142" r:id="rId106"/>
    <hyperlink xmlns:r="http://schemas.openxmlformats.org/officeDocument/2006/relationships" ref="A143" r:id="rId107"/>
    <hyperlink xmlns:r="http://schemas.openxmlformats.org/officeDocument/2006/relationships" ref="A144" r:id="rId108"/>
    <hyperlink xmlns:r="http://schemas.openxmlformats.org/officeDocument/2006/relationships" ref="A145" r:id="rId109"/>
    <hyperlink xmlns:r="http://schemas.openxmlformats.org/officeDocument/2006/relationships" ref="A146" r:id="rId110"/>
    <hyperlink xmlns:r="http://schemas.openxmlformats.org/officeDocument/2006/relationships" ref="A147" r:id="rId111"/>
    <hyperlink xmlns:r="http://schemas.openxmlformats.org/officeDocument/2006/relationships" ref="A148" r:id="rId112"/>
    <hyperlink xmlns:r="http://schemas.openxmlformats.org/officeDocument/2006/relationships" ref="A149" r:id="rId113"/>
    <hyperlink xmlns:r="http://schemas.openxmlformats.org/officeDocument/2006/relationships" ref="A150" r:id="rId114"/>
    <hyperlink xmlns:r="http://schemas.openxmlformats.org/officeDocument/2006/relationships" ref="A151" r:id="rId115"/>
    <hyperlink xmlns:r="http://schemas.openxmlformats.org/officeDocument/2006/relationships" ref="A152" r:id="rId116"/>
    <hyperlink xmlns:r="http://schemas.openxmlformats.org/officeDocument/2006/relationships" ref="A153" r:id="rId117"/>
    <hyperlink xmlns:r="http://schemas.openxmlformats.org/officeDocument/2006/relationships" ref="A154" r:id="rId118"/>
    <hyperlink xmlns:r="http://schemas.openxmlformats.org/officeDocument/2006/relationships" ref="A156" r:id="rId119"/>
    <hyperlink xmlns:r="http://schemas.openxmlformats.org/officeDocument/2006/relationships" ref="A157" r:id="rId120"/>
    <hyperlink xmlns:r="http://schemas.openxmlformats.org/officeDocument/2006/relationships" ref="A159" r:id="rId121"/>
    <hyperlink xmlns:r="http://schemas.openxmlformats.org/officeDocument/2006/relationships" ref="A160" r:id="rId122"/>
    <hyperlink xmlns:r="http://schemas.openxmlformats.org/officeDocument/2006/relationships" ref="A161" r:id="rId123"/>
    <hyperlink xmlns:r="http://schemas.openxmlformats.org/officeDocument/2006/relationships" ref="A162" r:id="rId124"/>
    <hyperlink xmlns:r="http://schemas.openxmlformats.org/officeDocument/2006/relationships" ref="A163" r:id="rId125"/>
  </hyperlink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22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0" customWidth="1" min="12" max="12"/>
    <col width="36" customWidth="1" min="13" max="13"/>
  </cols>
  <sheetData>
    <row r="1" ht="38" customHeight="1">
      <c r="A1" s="114" t="inlineStr">
        <is>
          <t>CABO  —  XLR, DMX, P10, AC, HDMI, USB</t>
        </is>
      </c>
    </row>
    <row r="2" ht="22" customHeight="1">
      <c r="A2" s="90" t="inlineStr">
        <is>
          <t>0 itens   |   Valor: R$ 0   |   Desgaste medio: 0.0/5</t>
        </is>
      </c>
    </row>
    <row r="3" ht="6" customHeight="1"/>
    <row r="4" ht="28" customHeight="1">
      <c r="A4" s="91" t="inlineStr">
        <is>
          <t>Codigo</t>
        </is>
      </c>
      <c r="B4" s="91" t="inlineStr">
        <is>
          <t>Nome</t>
        </is>
      </c>
      <c r="C4" s="91" t="inlineStr">
        <is>
          <t>Marca</t>
        </is>
      </c>
      <c r="D4" s="91" t="inlineStr">
        <is>
          <t>Subcategoria</t>
        </is>
      </c>
      <c r="E4" s="91" t="inlineStr">
        <is>
          <t>Serial Fab.</t>
        </is>
      </c>
      <c r="F4" s="91" t="inlineStr">
        <is>
          <t>Tag RFID</t>
        </is>
      </c>
      <c r="G4" s="91" t="inlineStr">
        <is>
          <t>Status</t>
        </is>
      </c>
      <c r="H4" s="91" t="inlineStr">
        <is>
          <t>Estado</t>
        </is>
      </c>
      <c r="I4" s="91" t="inlineStr">
        <is>
          <t>Desgaste</t>
        </is>
      </c>
      <c r="J4" s="91" t="inlineStr">
        <is>
          <t>Valor Original</t>
        </is>
      </c>
      <c r="K4" s="91" t="inlineStr">
        <is>
          <t>Valor Atual</t>
        </is>
      </c>
      <c r="L4" s="91" t="inlineStr">
        <is>
          <t>Deprec.%</t>
        </is>
      </c>
      <c r="M4" s="91" t="inlineStr">
        <is>
          <t>Notas</t>
        </is>
      </c>
    </row>
    <row r="5"/>
    <row r="6" ht="26" customHeight="1">
      <c r="A6" s="104" t="inlineStr">
        <is>
          <t xml:space="preserve">  TOTAL: 0 itens</t>
        </is>
      </c>
      <c r="B6" s="144" t="n"/>
      <c r="C6" s="144" t="n"/>
      <c r="D6" s="144" t="n"/>
      <c r="E6" s="144" t="n"/>
      <c r="F6" s="145" t="n"/>
      <c r="G6" s="105" t="n"/>
      <c r="H6" s="105" t="n"/>
      <c r="I6" s="105" t="n"/>
      <c r="J6" s="105" t="n"/>
      <c r="K6" s="105" t="n"/>
      <c r="L6" s="105" t="n"/>
      <c r="M6" s="105" t="n"/>
    </row>
    <row r="7"/>
    <row r="8" ht="18" customHeight="1">
      <c r="A8" s="34" t="inlineStr">
        <is>
          <t>MMD Eventos  |  Inventario Inteligente  |  03/04/2026</t>
        </is>
      </c>
    </row>
  </sheetData>
  <autoFilter ref="A4:M4"/>
  <mergeCells count="4">
    <mergeCell ref="A6:F6"/>
    <mergeCell ref="A2:M2"/>
    <mergeCell ref="A8:M8"/>
    <mergeCell ref="A1:M1"/>
  </mergeCells>
  <conditionalFormatting sqref="G5:G208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08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08">
    <cfRule type="expression" priority="12" dxfId="10">
      <formula>I5="★★★★★"</formula>
    </cfRule>
    <cfRule type="expression" priority="13" dxfId="11">
      <formula>I5="★★★★☆"</formula>
    </cfRule>
    <cfRule type="expression" priority="14" dxfId="12">
      <formula>I5="★★★☆☆"</formula>
    </cfRule>
    <cfRule type="expression" priority="15" dxfId="13">
      <formula>I5="★★☆☆☆"</formula>
    </cfRule>
    <cfRule type="expression" priority="16" dxfId="14">
      <formula>I5="★☆☆☆☆"</formula>
    </cfRule>
  </conditionalFormatting>
  <conditionalFormatting sqref="L5:L208">
    <cfRule type="cellIs" priority="17" operator="lessThan" dxfId="0">
      <formula>0.2</formula>
    </cfRule>
    <cfRule type="cellIs" priority="18" operator="between" dxfId="2">
      <formula>0.2</formula>
      <formula>0.4</formula>
    </cfRule>
    <cfRule type="cellIs" priority="19" operator="between" dxfId="15">
      <formula>0.4</formula>
      <formula>0.6</formula>
    </cfRule>
    <cfRule type="cellIs" priority="20" operator="greaterThanOrEqual" dxfId="16">
      <formula>0.6</formula>
    </cfRule>
  </conditionalFormatting>
  <dataValidations count="3">
    <dataValidation sqref="G5:G208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08" showDropDown="0" showInputMessage="0" showErrorMessage="0" allowBlank="1" type="list">
      <formula1>"NOVO,SEMI_NOVO,USADO,RECONDICIONADO"</formula1>
    </dataValidation>
    <dataValidation sqref="I5:I208" showDropDown="0" showInputMessage="0" showErrorMessage="0" allowBlank="1" type="list">
      <formula1>"★☆☆☆☆,★★☆☆☆,★★★☆☆,★★★★☆,★★★★★"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M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22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0" customWidth="1" min="12" max="12"/>
    <col width="36" customWidth="1" min="13" max="13"/>
  </cols>
  <sheetData>
    <row r="1" ht="38" customHeight="1">
      <c r="A1" s="115" t="inlineStr">
        <is>
          <t>ENERGIA  —  Reguas, Centopeias, Extensoes</t>
        </is>
      </c>
    </row>
    <row r="2" ht="22" customHeight="1">
      <c r="A2" s="90" t="inlineStr">
        <is>
          <t>27 itens   |   Valor: R$ 5.785,73   |   Desgaste medio: 3,0/5</t>
        </is>
      </c>
    </row>
    <row r="3" ht="6" customHeight="1"/>
    <row r="4" ht="28" customHeight="1">
      <c r="A4" s="91" t="inlineStr">
        <is>
          <t>Codigo</t>
        </is>
      </c>
      <c r="B4" s="91" t="inlineStr">
        <is>
          <t>Nome</t>
        </is>
      </c>
      <c r="C4" s="91" t="inlineStr">
        <is>
          <t>Marca</t>
        </is>
      </c>
      <c r="D4" s="91" t="inlineStr">
        <is>
          <t>Subcategoria</t>
        </is>
      </c>
      <c r="E4" s="91" t="inlineStr">
        <is>
          <t>Serial Fab.</t>
        </is>
      </c>
      <c r="F4" s="91" t="inlineStr">
        <is>
          <t>Tag RFID</t>
        </is>
      </c>
      <c r="G4" s="91" t="inlineStr">
        <is>
          <t>Status</t>
        </is>
      </c>
      <c r="H4" s="91" t="inlineStr">
        <is>
          <t>Estado</t>
        </is>
      </c>
      <c r="I4" s="91" t="inlineStr">
        <is>
          <t>Desgaste</t>
        </is>
      </c>
      <c r="J4" s="91" t="inlineStr">
        <is>
          <t>Valor Original</t>
        </is>
      </c>
      <c r="K4" s="91" t="inlineStr">
        <is>
          <t>Valor Atual</t>
        </is>
      </c>
      <c r="L4" s="91" t="inlineStr">
        <is>
          <t>Deprec.%</t>
        </is>
      </c>
      <c r="M4" s="91" t="inlineStr">
        <is>
          <t>Notas</t>
        </is>
      </c>
    </row>
    <row r="5" ht="24" customHeight="1">
      <c r="A5" s="116" t="inlineStr">
        <is>
          <t xml:space="preserve">  DIST ENERGIA  (1)</t>
        </is>
      </c>
    </row>
    <row r="6" ht="22" customHeight="1">
      <c r="A6" s="64" t="inlineStr">
        <is>
          <t>MMD-ENE-0006</t>
        </is>
      </c>
      <c r="B6" s="75" t="inlineStr">
        <is>
          <t>DISTRIBUIDOR DE TOMADA/ FILTRO DE LINHA AC-3000 CD</t>
        </is>
      </c>
      <c r="C6" s="58" t="inlineStr">
        <is>
          <t>OK</t>
        </is>
      </c>
      <c r="D6" s="58" t="inlineStr">
        <is>
          <t>DIST ENERGIA</t>
        </is>
      </c>
      <c r="E6" s="58" t="inlineStr"/>
      <c r="F6" s="58" t="inlineStr"/>
      <c r="G6" s="58" t="inlineStr">
        <is>
          <t>DISPONIVEL</t>
        </is>
      </c>
      <c r="H6" s="58" t="inlineStr">
        <is>
          <t>USADO</t>
        </is>
      </c>
      <c r="I6" s="103" t="inlineStr">
        <is>
          <t>★★★☆☆</t>
        </is>
      </c>
      <c r="J6" s="142" t="n">
        <v>400</v>
      </c>
      <c r="K6" s="143" t="n">
        <v>332.34</v>
      </c>
      <c r="L6" s="98">
        <f>IF(J6&gt;0,(J6-K6)/J6,"")</f>
        <v/>
      </c>
      <c r="M6" s="99" t="inlineStr"/>
    </row>
    <row r="7" ht="24" customHeight="1">
      <c r="A7" s="116" t="inlineStr">
        <is>
          <t xml:space="preserve">  FONTE  (1)</t>
        </is>
      </c>
    </row>
    <row r="8" ht="22" customHeight="1">
      <c r="A8" s="118" t="inlineStr">
        <is>
          <t>MMD-ENE-0001</t>
        </is>
      </c>
      <c r="B8" s="79" t="inlineStr">
        <is>
          <t>FONTE 12V 4270MA RRFONTES</t>
        </is>
      </c>
      <c r="C8" s="53" t="inlineStr"/>
      <c r="D8" s="53" t="inlineStr">
        <is>
          <t>FONTE</t>
        </is>
      </c>
      <c r="E8" s="53" t="inlineStr"/>
      <c r="F8" s="53" t="inlineStr"/>
      <c r="G8" s="53" t="inlineStr">
        <is>
          <t>DISPONIVEL</t>
        </is>
      </c>
      <c r="H8" s="53" t="inlineStr">
        <is>
          <t>USADO</t>
        </is>
      </c>
      <c r="I8" s="103" t="inlineStr">
        <is>
          <t>★★★☆☆</t>
        </is>
      </c>
      <c r="J8" s="141" t="n">
        <v>245.07</v>
      </c>
      <c r="K8" s="143" t="n">
        <v>66.75</v>
      </c>
      <c r="L8" s="101">
        <f>IF(J8&gt;0,(J8-K8)/J8,"")</f>
        <v/>
      </c>
      <c r="M8" s="102" t="inlineStr"/>
    </row>
    <row r="9" ht="24" customHeight="1">
      <c r="A9" s="116" t="inlineStr">
        <is>
          <t xml:space="preserve">  REGUA  (4)</t>
        </is>
      </c>
    </row>
    <row r="10" ht="22" customHeight="1">
      <c r="A10" s="64" t="inlineStr">
        <is>
          <t>MMD-ENE-0002</t>
        </is>
      </c>
      <c r="B10" s="75" t="inlineStr">
        <is>
          <t>REGUA FIOLUX PRETA 12 TOMADAS</t>
        </is>
      </c>
      <c r="C10" s="58" t="inlineStr">
        <is>
          <t>Fiolux</t>
        </is>
      </c>
      <c r="D10" s="58" t="inlineStr">
        <is>
          <t>REGUA</t>
        </is>
      </c>
      <c r="E10" s="58" t="inlineStr"/>
      <c r="F10" s="58" t="inlineStr"/>
      <c r="G10" s="58" t="inlineStr">
        <is>
          <t>DISPONIVEL</t>
        </is>
      </c>
      <c r="H10" s="58" t="inlineStr">
        <is>
          <t>USADO</t>
        </is>
      </c>
      <c r="I10" s="103" t="inlineStr">
        <is>
          <t>★★★☆☆</t>
        </is>
      </c>
      <c r="J10" s="142" t="n">
        <v>76</v>
      </c>
      <c r="K10" s="143" t="n">
        <v>66.75</v>
      </c>
      <c r="L10" s="98">
        <f>IF(J10&gt;0,(J10-K10)/J10,"")</f>
        <v/>
      </c>
      <c r="M10" s="99" t="inlineStr"/>
    </row>
    <row r="11" ht="22" customHeight="1">
      <c r="A11" s="118" t="inlineStr">
        <is>
          <t>MMD-ENE-0003</t>
        </is>
      </c>
      <c r="B11" s="79" t="inlineStr">
        <is>
          <t>REGUA FIOLUX PRETA 12 TOMADAS</t>
        </is>
      </c>
      <c r="C11" s="53" t="inlineStr">
        <is>
          <t>Flolux</t>
        </is>
      </c>
      <c r="D11" s="53" t="inlineStr">
        <is>
          <t>REGUA</t>
        </is>
      </c>
      <c r="E11" s="53" t="inlineStr"/>
      <c r="F11" s="53" t="inlineStr"/>
      <c r="G11" s="53" t="inlineStr">
        <is>
          <t>DISPONIVEL</t>
        </is>
      </c>
      <c r="H11" s="53" t="inlineStr">
        <is>
          <t>USADO</t>
        </is>
      </c>
      <c r="I11" s="103" t="inlineStr">
        <is>
          <t>★★★☆☆</t>
        </is>
      </c>
      <c r="J11" s="141" t="n">
        <v>145.57</v>
      </c>
      <c r="K11" s="143" t="n">
        <v>66.75</v>
      </c>
      <c r="L11" s="101">
        <f>IF(J11&gt;0,(J11-K11)/J11,"")</f>
        <v/>
      </c>
      <c r="M11" s="102" t="inlineStr"/>
    </row>
    <row r="12" ht="22" customHeight="1">
      <c r="A12" s="64" t="inlineStr">
        <is>
          <t>MMD-ENE-0004</t>
        </is>
      </c>
      <c r="B12" s="75" t="inlineStr">
        <is>
          <t>REGUA FIOLUX PRETA 12 TOMADAS</t>
        </is>
      </c>
      <c r="C12" s="58" t="inlineStr">
        <is>
          <t>Flolux</t>
        </is>
      </c>
      <c r="D12" s="58" t="inlineStr">
        <is>
          <t>REGUA</t>
        </is>
      </c>
      <c r="E12" s="58" t="inlineStr"/>
      <c r="F12" s="58" t="inlineStr"/>
      <c r="G12" s="58" t="inlineStr">
        <is>
          <t>DISPONIVEL</t>
        </is>
      </c>
      <c r="H12" s="58" t="inlineStr">
        <is>
          <t>USADO</t>
        </is>
      </c>
      <c r="I12" s="103" t="inlineStr">
        <is>
          <t>★★★☆☆</t>
        </is>
      </c>
      <c r="J12" s="142" t="n">
        <v>145.57</v>
      </c>
      <c r="K12" s="143" t="n">
        <v>66.75</v>
      </c>
      <c r="L12" s="98">
        <f>IF(J12&gt;0,(J12-K12)/J12,"")</f>
        <v/>
      </c>
      <c r="M12" s="99" t="inlineStr"/>
    </row>
    <row r="13" ht="22" customHeight="1">
      <c r="A13" s="118" t="inlineStr">
        <is>
          <t>MMD-ENE-0005</t>
        </is>
      </c>
      <c r="B13" s="79" t="inlineStr">
        <is>
          <t>REGUA FIOLUX PRETA 6 TOMADAS</t>
        </is>
      </c>
      <c r="C13" s="53" t="inlineStr">
        <is>
          <t>Flolux</t>
        </is>
      </c>
      <c r="D13" s="53" t="inlineStr">
        <is>
          <t>REGUA</t>
        </is>
      </c>
      <c r="E13" s="53" t="inlineStr"/>
      <c r="F13" s="53" t="inlineStr"/>
      <c r="G13" s="53" t="inlineStr">
        <is>
          <t>DISPONIVEL</t>
        </is>
      </c>
      <c r="H13" s="53" t="inlineStr">
        <is>
          <t>USADO</t>
        </is>
      </c>
      <c r="I13" s="103" t="inlineStr">
        <is>
          <t>★★★☆☆</t>
        </is>
      </c>
      <c r="J13" s="141" t="n">
        <v>145.57</v>
      </c>
      <c r="K13" s="143" t="n">
        <v>27.6</v>
      </c>
      <c r="L13" s="101">
        <f>IF(J13&gt;0,(J13-K13)/J13,"")</f>
        <v/>
      </c>
      <c r="M13" s="102" t="inlineStr"/>
    </row>
    <row r="14" ht="24" customHeight="1">
      <c r="A14" s="116" t="inlineStr">
        <is>
          <t xml:space="preserve">  REGUA 6 TOMADAS  (1)</t>
        </is>
      </c>
    </row>
    <row r="15" ht="22" customHeight="1">
      <c r="A15" s="64" t="inlineStr">
        <is>
          <t>MMD-ENE-0027</t>
        </is>
      </c>
      <c r="B15" s="75" t="inlineStr">
        <is>
          <t>REGUA 6 TOMADAS FIOLUX 80CM</t>
        </is>
      </c>
      <c r="C15" s="58" t="inlineStr"/>
      <c r="D15" s="58" t="inlineStr">
        <is>
          <t>REGUA 6 TOMADAS</t>
        </is>
      </c>
      <c r="E15" s="58" t="inlineStr"/>
      <c r="F15" s="58" t="inlineStr"/>
      <c r="G15" s="58" t="inlineStr">
        <is>
          <t>DISPONIVEL</t>
        </is>
      </c>
      <c r="H15" s="58" t="inlineStr">
        <is>
          <t>USADO</t>
        </is>
      </c>
      <c r="I15" s="103" t="inlineStr">
        <is>
          <t>★★★☆☆</t>
        </is>
      </c>
      <c r="J15" s="142" t="n">
        <v>145.57</v>
      </c>
      <c r="K15" s="143" t="n">
        <v>27.6</v>
      </c>
      <c r="L15" s="98">
        <f>IF(J15&gt;0,(J15-K15)/J15,"")</f>
        <v/>
      </c>
      <c r="M15" s="99" t="inlineStr"/>
    </row>
    <row r="16" ht="24" customHeight="1">
      <c r="A16" s="116" t="inlineStr">
        <is>
          <t xml:space="preserve">  RÉGUA  (17)</t>
        </is>
      </c>
    </row>
    <row r="17" ht="22" customHeight="1">
      <c r="A17" s="118" t="inlineStr">
        <is>
          <t>MMD-ENE-0007</t>
        </is>
      </c>
      <c r="B17" s="79" t="inlineStr">
        <is>
          <t>WPD-5</t>
        </is>
      </c>
      <c r="C17" s="53" t="inlineStr">
        <is>
          <t>Wireconnex</t>
        </is>
      </c>
      <c r="D17" s="53" t="inlineStr">
        <is>
          <t>RÉGUA</t>
        </is>
      </c>
      <c r="E17" s="53" t="inlineStr"/>
      <c r="F17" s="53" t="inlineStr"/>
      <c r="G17" s="53" t="inlineStr">
        <is>
          <t>DISPONIVEL</t>
        </is>
      </c>
      <c r="H17" s="53" t="inlineStr">
        <is>
          <t>USADO</t>
        </is>
      </c>
      <c r="I17" s="103" t="inlineStr">
        <is>
          <t>★★★☆☆</t>
        </is>
      </c>
      <c r="J17" s="141" t="n">
        <v>215.14</v>
      </c>
      <c r="K17" s="143" t="n">
        <v>199.9</v>
      </c>
      <c r="L17" s="101">
        <f>IF(J17&gt;0,(J17-K17)/J17,"")</f>
        <v/>
      </c>
      <c r="M17" s="102" t="inlineStr"/>
    </row>
    <row r="18" ht="22" customHeight="1">
      <c r="A18" s="64" t="inlineStr">
        <is>
          <t>MMD-ENE-0008</t>
        </is>
      </c>
      <c r="B18" s="75" t="inlineStr">
        <is>
          <t>WPD-5</t>
        </is>
      </c>
      <c r="C18" s="58" t="inlineStr">
        <is>
          <t>Wireconnex</t>
        </is>
      </c>
      <c r="D18" s="58" t="inlineStr">
        <is>
          <t>RÉGUA</t>
        </is>
      </c>
      <c r="E18" s="58" t="inlineStr"/>
      <c r="F18" s="58" t="inlineStr"/>
      <c r="G18" s="58" t="inlineStr">
        <is>
          <t>DISPONIVEL</t>
        </is>
      </c>
      <c r="H18" s="58" t="inlineStr">
        <is>
          <t>USADO</t>
        </is>
      </c>
      <c r="I18" s="103" t="inlineStr">
        <is>
          <t>★★★☆☆</t>
        </is>
      </c>
      <c r="J18" s="142" t="n">
        <v>215.14</v>
      </c>
      <c r="K18" s="143" t="n">
        <v>199.9</v>
      </c>
      <c r="L18" s="98">
        <f>IF(J18&gt;0,(J18-K18)/J18,"")</f>
        <v/>
      </c>
      <c r="M18" s="99" t="inlineStr"/>
    </row>
    <row r="19" ht="22" customHeight="1">
      <c r="A19" s="118" t="inlineStr">
        <is>
          <t>MMD-ENE-0009</t>
        </is>
      </c>
      <c r="B19" s="79" t="inlineStr">
        <is>
          <t>WPD-5</t>
        </is>
      </c>
      <c r="C19" s="53" t="inlineStr">
        <is>
          <t>Wireconnex</t>
        </is>
      </c>
      <c r="D19" s="53" t="inlineStr">
        <is>
          <t>RÉGUA</t>
        </is>
      </c>
      <c r="E19" s="53" t="inlineStr"/>
      <c r="F19" s="53" t="inlineStr"/>
      <c r="G19" s="53" t="inlineStr">
        <is>
          <t>DISPONIVEL</t>
        </is>
      </c>
      <c r="H19" s="53" t="inlineStr">
        <is>
          <t>USADO</t>
        </is>
      </c>
      <c r="I19" s="103" t="inlineStr">
        <is>
          <t>★★★☆☆</t>
        </is>
      </c>
      <c r="J19" s="141" t="n">
        <v>215.14</v>
      </c>
      <c r="K19" s="143" t="n">
        <v>199.9</v>
      </c>
      <c r="L19" s="101">
        <f>IF(J19&gt;0,(J19-K19)/J19,"")</f>
        <v/>
      </c>
      <c r="M19" s="102" t="inlineStr"/>
    </row>
    <row r="20" ht="22" customHeight="1">
      <c r="A20" s="64" t="inlineStr">
        <is>
          <t>MMD-ENE-0010</t>
        </is>
      </c>
      <c r="B20" s="75" t="inlineStr">
        <is>
          <t>WPD-5</t>
        </is>
      </c>
      <c r="C20" s="58" t="inlineStr">
        <is>
          <t>Wireconnex</t>
        </is>
      </c>
      <c r="D20" s="58" t="inlineStr">
        <is>
          <t>RÉGUA</t>
        </is>
      </c>
      <c r="E20" s="58" t="inlineStr"/>
      <c r="F20" s="58" t="inlineStr"/>
      <c r="G20" s="58" t="inlineStr">
        <is>
          <t>DISPONIVEL</t>
        </is>
      </c>
      <c r="H20" s="58" t="inlineStr">
        <is>
          <t>USADO</t>
        </is>
      </c>
      <c r="I20" s="103" t="inlineStr">
        <is>
          <t>★★★☆☆</t>
        </is>
      </c>
      <c r="J20" s="142" t="n">
        <v>215.14</v>
      </c>
      <c r="K20" s="143" t="n">
        <v>199.9</v>
      </c>
      <c r="L20" s="98">
        <f>IF(J20&gt;0,(J20-K20)/J20,"")</f>
        <v/>
      </c>
      <c r="M20" s="99" t="inlineStr"/>
    </row>
    <row r="21" ht="22" customHeight="1">
      <c r="A21" s="118" t="inlineStr">
        <is>
          <t>MMD-ENE-0011</t>
        </is>
      </c>
      <c r="B21" s="79" t="inlineStr">
        <is>
          <t>WPD-5</t>
        </is>
      </c>
      <c r="C21" s="53" t="inlineStr">
        <is>
          <t>Wireconnex</t>
        </is>
      </c>
      <c r="D21" s="53" t="inlineStr">
        <is>
          <t>RÉGUA</t>
        </is>
      </c>
      <c r="E21" s="53" t="inlineStr"/>
      <c r="F21" s="53" t="inlineStr"/>
      <c r="G21" s="53" t="inlineStr">
        <is>
          <t>DISPONIVEL</t>
        </is>
      </c>
      <c r="H21" s="53" t="inlineStr">
        <is>
          <t>USADO</t>
        </is>
      </c>
      <c r="I21" s="103" t="inlineStr">
        <is>
          <t>★★★☆☆</t>
        </is>
      </c>
      <c r="J21" s="141" t="n">
        <v>215.14</v>
      </c>
      <c r="K21" s="143" t="n">
        <v>199.9</v>
      </c>
      <c r="L21" s="101">
        <f>IF(J21&gt;0,(J21-K21)/J21,"")</f>
        <v/>
      </c>
      <c r="M21" s="102" t="inlineStr"/>
    </row>
    <row r="22" ht="22" customHeight="1">
      <c r="A22" s="64" t="inlineStr">
        <is>
          <t>MMD-ENE-0012</t>
        </is>
      </c>
      <c r="B22" s="75" t="inlineStr">
        <is>
          <t>WPD-5</t>
        </is>
      </c>
      <c r="C22" s="58" t="inlineStr">
        <is>
          <t>Wireconnex</t>
        </is>
      </c>
      <c r="D22" s="58" t="inlineStr">
        <is>
          <t>RÉGUA</t>
        </is>
      </c>
      <c r="E22" s="58" t="inlineStr"/>
      <c r="F22" s="58" t="inlineStr"/>
      <c r="G22" s="58" t="inlineStr">
        <is>
          <t>DISPONIVEL</t>
        </is>
      </c>
      <c r="H22" s="58" t="inlineStr">
        <is>
          <t>USADO</t>
        </is>
      </c>
      <c r="I22" s="103" t="inlineStr">
        <is>
          <t>★★★☆☆</t>
        </is>
      </c>
      <c r="J22" s="142" t="n">
        <v>215.14</v>
      </c>
      <c r="K22" s="143" t="n">
        <v>199.9</v>
      </c>
      <c r="L22" s="98">
        <f>IF(J22&gt;0,(J22-K22)/J22,"")</f>
        <v/>
      </c>
      <c r="M22" s="99" t="inlineStr"/>
    </row>
    <row r="23" ht="22" customHeight="1">
      <c r="A23" s="118" t="inlineStr">
        <is>
          <t>MMD-ENE-0013</t>
        </is>
      </c>
      <c r="B23" s="79" t="inlineStr">
        <is>
          <t>WPD-5</t>
        </is>
      </c>
      <c r="C23" s="53" t="inlineStr">
        <is>
          <t>Wireconnex</t>
        </is>
      </c>
      <c r="D23" s="53" t="inlineStr">
        <is>
          <t>RÉGUA</t>
        </is>
      </c>
      <c r="E23" s="53" t="inlineStr"/>
      <c r="F23" s="53" t="inlineStr"/>
      <c r="G23" s="53" t="inlineStr">
        <is>
          <t>DISPONIVEL</t>
        </is>
      </c>
      <c r="H23" s="53" t="inlineStr">
        <is>
          <t>USADO</t>
        </is>
      </c>
      <c r="I23" s="103" t="inlineStr">
        <is>
          <t>★★★☆☆</t>
        </is>
      </c>
      <c r="J23" s="141" t="n">
        <v>215.14</v>
      </c>
      <c r="K23" s="143" t="n">
        <v>199.9</v>
      </c>
      <c r="L23" s="101">
        <f>IF(J23&gt;0,(J23-K23)/J23,"")</f>
        <v/>
      </c>
      <c r="M23" s="102" t="inlineStr"/>
    </row>
    <row r="24" ht="22" customHeight="1">
      <c r="A24" s="64" t="inlineStr">
        <is>
          <t>MMD-ENE-0014</t>
        </is>
      </c>
      <c r="B24" s="75" t="inlineStr">
        <is>
          <t>WPD-5</t>
        </is>
      </c>
      <c r="C24" s="58" t="inlineStr">
        <is>
          <t>Wireconnex</t>
        </is>
      </c>
      <c r="D24" s="58" t="inlineStr">
        <is>
          <t>RÉGUA</t>
        </is>
      </c>
      <c r="E24" s="58" t="inlineStr"/>
      <c r="F24" s="58" t="inlineStr"/>
      <c r="G24" s="58" t="inlineStr">
        <is>
          <t>DISPONIVEL</t>
        </is>
      </c>
      <c r="H24" s="58" t="inlineStr">
        <is>
          <t>USADO</t>
        </is>
      </c>
      <c r="I24" s="103" t="inlineStr">
        <is>
          <t>★★★☆☆</t>
        </is>
      </c>
      <c r="J24" s="142" t="n">
        <v>215.14</v>
      </c>
      <c r="K24" s="143" t="n">
        <v>199.9</v>
      </c>
      <c r="L24" s="98">
        <f>IF(J24&gt;0,(J24-K24)/J24,"")</f>
        <v/>
      </c>
      <c r="M24" s="99" t="inlineStr"/>
    </row>
    <row r="25" ht="22" customHeight="1">
      <c r="A25" s="118" t="inlineStr">
        <is>
          <t>MMD-ENE-0015</t>
        </is>
      </c>
      <c r="B25" s="79" t="inlineStr">
        <is>
          <t>WPD-5</t>
        </is>
      </c>
      <c r="C25" s="53" t="inlineStr">
        <is>
          <t>Wireconnex</t>
        </is>
      </c>
      <c r="D25" s="53" t="inlineStr">
        <is>
          <t>RÉGUA</t>
        </is>
      </c>
      <c r="E25" s="53" t="inlineStr"/>
      <c r="F25" s="53" t="inlineStr"/>
      <c r="G25" s="53" t="inlineStr">
        <is>
          <t>DISPONIVEL</t>
        </is>
      </c>
      <c r="H25" s="53" t="inlineStr">
        <is>
          <t>USADO</t>
        </is>
      </c>
      <c r="I25" s="103" t="inlineStr">
        <is>
          <t>★★★☆☆</t>
        </is>
      </c>
      <c r="J25" s="141" t="n">
        <v>215.14</v>
      </c>
      <c r="K25" s="143" t="n">
        <v>199.9</v>
      </c>
      <c r="L25" s="101">
        <f>IF(J25&gt;0,(J25-K25)/J25,"")</f>
        <v/>
      </c>
      <c r="M25" s="102" t="inlineStr"/>
    </row>
    <row r="26" ht="22" customHeight="1">
      <c r="A26" s="64" t="inlineStr">
        <is>
          <t>MMD-ENE-0016</t>
        </is>
      </c>
      <c r="B26" s="75" t="inlineStr">
        <is>
          <t>WPD-5</t>
        </is>
      </c>
      <c r="C26" s="58" t="inlineStr">
        <is>
          <t>Wireconnex</t>
        </is>
      </c>
      <c r="D26" s="58" t="inlineStr">
        <is>
          <t>RÉGUA</t>
        </is>
      </c>
      <c r="E26" s="58" t="inlineStr"/>
      <c r="F26" s="58" t="inlineStr"/>
      <c r="G26" s="58" t="inlineStr">
        <is>
          <t>DISPONIVEL</t>
        </is>
      </c>
      <c r="H26" s="58" t="inlineStr">
        <is>
          <t>USADO</t>
        </is>
      </c>
      <c r="I26" s="103" t="inlineStr">
        <is>
          <t>★★★☆☆</t>
        </is>
      </c>
      <c r="J26" s="142" t="n">
        <v>215.14</v>
      </c>
      <c r="K26" s="143" t="n">
        <v>199.9</v>
      </c>
      <c r="L26" s="98">
        <f>IF(J26&gt;0,(J26-K26)/J26,"")</f>
        <v/>
      </c>
      <c r="M26" s="99" t="inlineStr"/>
    </row>
    <row r="27" ht="22" customHeight="1">
      <c r="A27" s="118" t="inlineStr">
        <is>
          <t>MMD-ENE-0017</t>
        </is>
      </c>
      <c r="B27" s="79" t="inlineStr">
        <is>
          <t>WPD-5</t>
        </is>
      </c>
      <c r="C27" s="53" t="inlineStr">
        <is>
          <t>Wireconnex</t>
        </is>
      </c>
      <c r="D27" s="53" t="inlineStr">
        <is>
          <t>RÉGUA</t>
        </is>
      </c>
      <c r="E27" s="53" t="inlineStr"/>
      <c r="F27" s="53" t="inlineStr"/>
      <c r="G27" s="53" t="inlineStr">
        <is>
          <t>DISPONIVEL</t>
        </is>
      </c>
      <c r="H27" s="53" t="inlineStr">
        <is>
          <t>USADO</t>
        </is>
      </c>
      <c r="I27" s="103" t="inlineStr">
        <is>
          <t>★★★☆☆</t>
        </is>
      </c>
      <c r="J27" s="141" t="n">
        <v>215.14</v>
      </c>
      <c r="K27" s="143" t="n">
        <v>199.9</v>
      </c>
      <c r="L27" s="101">
        <f>IF(J27&gt;0,(J27-K27)/J27,"")</f>
        <v/>
      </c>
      <c r="M27" s="102" t="inlineStr"/>
    </row>
    <row r="28" ht="22" customHeight="1">
      <c r="A28" s="64" t="inlineStr">
        <is>
          <t>MMD-ENE-0018</t>
        </is>
      </c>
      <c r="B28" s="75" t="inlineStr">
        <is>
          <t>WPD-5</t>
        </is>
      </c>
      <c r="C28" s="58" t="inlineStr">
        <is>
          <t>Wireconnex</t>
        </is>
      </c>
      <c r="D28" s="58" t="inlineStr">
        <is>
          <t>RÉGUA</t>
        </is>
      </c>
      <c r="E28" s="58" t="inlineStr"/>
      <c r="F28" s="58" t="inlineStr"/>
      <c r="G28" s="58" t="inlineStr">
        <is>
          <t>DISPONIVEL</t>
        </is>
      </c>
      <c r="H28" s="58" t="inlineStr">
        <is>
          <t>USADO</t>
        </is>
      </c>
      <c r="I28" s="103" t="inlineStr">
        <is>
          <t>★★★☆☆</t>
        </is>
      </c>
      <c r="J28" s="142" t="n">
        <v>215.14</v>
      </c>
      <c r="K28" s="143" t="n">
        <v>199.9</v>
      </c>
      <c r="L28" s="98">
        <f>IF(J28&gt;0,(J28-K28)/J28,"")</f>
        <v/>
      </c>
      <c r="M28" s="99" t="inlineStr"/>
    </row>
    <row r="29" ht="22" customHeight="1">
      <c r="A29" s="118" t="inlineStr">
        <is>
          <t>MMD-ENE-0019</t>
        </is>
      </c>
      <c r="B29" s="79" t="inlineStr">
        <is>
          <t>WPD-5</t>
        </is>
      </c>
      <c r="C29" s="53" t="inlineStr">
        <is>
          <t>Wireconnex</t>
        </is>
      </c>
      <c r="D29" s="53" t="inlineStr">
        <is>
          <t>RÉGUA</t>
        </is>
      </c>
      <c r="E29" s="53" t="inlineStr"/>
      <c r="F29" s="53" t="inlineStr"/>
      <c r="G29" s="53" t="inlineStr">
        <is>
          <t>DISPONIVEL</t>
        </is>
      </c>
      <c r="H29" s="53" t="inlineStr">
        <is>
          <t>USADO</t>
        </is>
      </c>
      <c r="I29" s="103" t="inlineStr">
        <is>
          <t>★★★☆☆</t>
        </is>
      </c>
      <c r="J29" s="141" t="n">
        <v>215.14</v>
      </c>
      <c r="K29" s="143" t="n">
        <v>199.9</v>
      </c>
      <c r="L29" s="101">
        <f>IF(J29&gt;0,(J29-K29)/J29,"")</f>
        <v/>
      </c>
      <c r="M29" s="102" t="inlineStr"/>
    </row>
    <row r="30" ht="22" customHeight="1">
      <c r="A30" s="64" t="inlineStr">
        <is>
          <t>MMD-ENE-0020</t>
        </is>
      </c>
      <c r="B30" s="75" t="inlineStr">
        <is>
          <t>WPD-5</t>
        </is>
      </c>
      <c r="C30" s="58" t="inlineStr">
        <is>
          <t>Wireconnex</t>
        </is>
      </c>
      <c r="D30" s="58" t="inlineStr">
        <is>
          <t>RÉGUA</t>
        </is>
      </c>
      <c r="E30" s="58" t="inlineStr"/>
      <c r="F30" s="58" t="inlineStr"/>
      <c r="G30" s="58" t="inlineStr">
        <is>
          <t>DISPONIVEL</t>
        </is>
      </c>
      <c r="H30" s="58" t="inlineStr">
        <is>
          <t>USADO</t>
        </is>
      </c>
      <c r="I30" s="103" t="inlineStr">
        <is>
          <t>★★★☆☆</t>
        </is>
      </c>
      <c r="J30" s="142" t="n">
        <v>215.14</v>
      </c>
      <c r="K30" s="143" t="n">
        <v>199.9</v>
      </c>
      <c r="L30" s="98">
        <f>IF(J30&gt;0,(J30-K30)/J30,"")</f>
        <v/>
      </c>
      <c r="M30" s="99" t="inlineStr"/>
    </row>
    <row r="31" ht="22" customHeight="1">
      <c r="A31" s="118" t="inlineStr">
        <is>
          <t>MMD-ENE-0021</t>
        </is>
      </c>
      <c r="B31" s="79" t="inlineStr">
        <is>
          <t>WPD-5</t>
        </is>
      </c>
      <c r="C31" s="53" t="inlineStr">
        <is>
          <t>Wireconnex</t>
        </is>
      </c>
      <c r="D31" s="53" t="inlineStr">
        <is>
          <t>RÉGUA</t>
        </is>
      </c>
      <c r="E31" s="53" t="inlineStr"/>
      <c r="F31" s="53" t="inlineStr"/>
      <c r="G31" s="53" t="inlineStr">
        <is>
          <t>DISPONIVEL</t>
        </is>
      </c>
      <c r="H31" s="53" t="inlineStr">
        <is>
          <t>USADO</t>
        </is>
      </c>
      <c r="I31" s="103" t="inlineStr">
        <is>
          <t>★★★☆☆</t>
        </is>
      </c>
      <c r="J31" s="141" t="n">
        <v>215.14</v>
      </c>
      <c r="K31" s="143" t="n">
        <v>199.9</v>
      </c>
      <c r="L31" s="101">
        <f>IF(J31&gt;0,(J31-K31)/J31,"")</f>
        <v/>
      </c>
      <c r="M31" s="102" t="inlineStr"/>
    </row>
    <row r="32" ht="22" customHeight="1">
      <c r="A32" s="64" t="inlineStr">
        <is>
          <t>MMD-ENE-0022</t>
        </is>
      </c>
      <c r="B32" s="75" t="inlineStr">
        <is>
          <t>WPD-5</t>
        </is>
      </c>
      <c r="C32" s="58" t="inlineStr">
        <is>
          <t>Wireconnex</t>
        </is>
      </c>
      <c r="D32" s="58" t="inlineStr">
        <is>
          <t>RÉGUA</t>
        </is>
      </c>
      <c r="E32" s="58" t="inlineStr"/>
      <c r="F32" s="58" t="inlineStr"/>
      <c r="G32" s="58" t="inlineStr">
        <is>
          <t>DISPONIVEL</t>
        </is>
      </c>
      <c r="H32" s="58" t="inlineStr">
        <is>
          <t>USADO</t>
        </is>
      </c>
      <c r="I32" s="103" t="inlineStr">
        <is>
          <t>★★★☆☆</t>
        </is>
      </c>
      <c r="J32" s="142" t="n">
        <v>215.14</v>
      </c>
      <c r="K32" s="143" t="n">
        <v>199.9</v>
      </c>
      <c r="L32" s="98">
        <f>IF(J32&gt;0,(J32-K32)/J32,"")</f>
        <v/>
      </c>
      <c r="M32" s="99" t="inlineStr"/>
    </row>
    <row r="33" ht="22" customHeight="1">
      <c r="A33" s="118" t="inlineStr">
        <is>
          <t>MMD-ENE-0023</t>
        </is>
      </c>
      <c r="B33" s="79" t="inlineStr">
        <is>
          <t>WPD-5</t>
        </is>
      </c>
      <c r="C33" s="53" t="inlineStr">
        <is>
          <t>Wireconnex</t>
        </is>
      </c>
      <c r="D33" s="53" t="inlineStr">
        <is>
          <t>RÉGUA</t>
        </is>
      </c>
      <c r="E33" s="53" t="inlineStr"/>
      <c r="F33" s="53" t="inlineStr"/>
      <c r="G33" s="53" t="inlineStr">
        <is>
          <t>DISPONIVEL</t>
        </is>
      </c>
      <c r="H33" s="53" t="inlineStr">
        <is>
          <t>USADO</t>
        </is>
      </c>
      <c r="I33" s="103" t="inlineStr">
        <is>
          <t>★★★☆☆</t>
        </is>
      </c>
      <c r="J33" s="141" t="n">
        <v>215.14</v>
      </c>
      <c r="K33" s="143" t="n">
        <v>199.9</v>
      </c>
      <c r="L33" s="101">
        <f>IF(J33&gt;0,(J33-K33)/J33,"")</f>
        <v/>
      </c>
      <c r="M33" s="102" t="inlineStr"/>
    </row>
    <row r="34" ht="24" customHeight="1">
      <c r="A34" s="116" t="inlineStr">
        <is>
          <t xml:space="preserve">  TRANSFORMADOR  (3)</t>
        </is>
      </c>
    </row>
    <row r="35" ht="36" customHeight="1">
      <c r="A35" s="64" t="inlineStr">
        <is>
          <t>MMD-ENE-0024</t>
        </is>
      </c>
      <c r="B35" s="75" t="inlineStr">
        <is>
          <t>ETIQUETA LIDER - COR COBRE</t>
        </is>
      </c>
      <c r="C35" s="58" t="inlineStr"/>
      <c r="D35" s="58" t="inlineStr">
        <is>
          <t>TRANSFORMADOR</t>
        </is>
      </c>
      <c r="E35" s="58" t="inlineStr"/>
      <c r="F35" s="58" t="inlineStr"/>
      <c r="G35" s="58" t="inlineStr">
        <is>
          <t>DISPONIVEL</t>
        </is>
      </c>
      <c r="H35" s="58" t="inlineStr">
        <is>
          <t>USADO</t>
        </is>
      </c>
      <c r="I35" s="103" t="inlineStr">
        <is>
          <t>★★★☆☆</t>
        </is>
      </c>
      <c r="J35" s="142" t="n">
        <v>275</v>
      </c>
      <c r="K35" s="143" t="n">
        <v>275</v>
      </c>
      <c r="L35" s="98">
        <f>IF(J35&gt;0,(J35-K35)/J35,"")</f>
        <v/>
      </c>
      <c r="M35" s="99" t="inlineStr">
        <is>
          <t>*Transformador pesado cobre</t>
        </is>
      </c>
    </row>
    <row r="36" ht="36" customHeight="1">
      <c r="A36" s="118" t="inlineStr">
        <is>
          <t>MMD-ENE-0025</t>
        </is>
      </c>
      <c r="B36" s="79" t="inlineStr">
        <is>
          <t>ETIQUETA PREMIUM 5000VA FIOLUX</t>
        </is>
      </c>
      <c r="C36" s="53" t="inlineStr"/>
      <c r="D36" s="53" t="inlineStr">
        <is>
          <t>TRANSFORMADOR</t>
        </is>
      </c>
      <c r="E36" s="53" t="inlineStr"/>
      <c r="F36" s="53" t="inlineStr"/>
      <c r="G36" s="53" t="inlineStr">
        <is>
          <t>DISPONIVEL</t>
        </is>
      </c>
      <c r="H36" s="53" t="inlineStr">
        <is>
          <t>USADO</t>
        </is>
      </c>
      <c r="I36" s="103" t="inlineStr">
        <is>
          <t>★★★☆☆</t>
        </is>
      </c>
      <c r="J36" s="141" t="n">
        <v>275</v>
      </c>
      <c r="K36" s="143" t="n">
        <v>275</v>
      </c>
      <c r="L36" s="101">
        <f>IF(J36&gt;0,(J36-K36)/J36,"")</f>
        <v/>
      </c>
      <c r="M36" s="102" t="inlineStr">
        <is>
          <t>*Transformador preto pesado com alça</t>
        </is>
      </c>
    </row>
    <row r="37" ht="36" customHeight="1">
      <c r="A37" s="64" t="inlineStr">
        <is>
          <t>MMD-ENE-0026</t>
        </is>
      </c>
      <c r="B37" s="75" t="inlineStr">
        <is>
          <t>SEM ETIQUETA</t>
        </is>
      </c>
      <c r="C37" s="58" t="inlineStr"/>
      <c r="D37" s="58" t="inlineStr">
        <is>
          <t>TRANSFORMADOR</t>
        </is>
      </c>
      <c r="E37" s="58" t="inlineStr"/>
      <c r="F37" s="58" t="inlineStr"/>
      <c r="G37" s="58" t="inlineStr">
        <is>
          <t>DISPONIVEL</t>
        </is>
      </c>
      <c r="H37" s="58" t="inlineStr">
        <is>
          <t>USADO</t>
        </is>
      </c>
      <c r="I37" s="103" t="inlineStr">
        <is>
          <t>★★★☆☆</t>
        </is>
      </c>
      <c r="J37" s="142" t="n">
        <v>275</v>
      </c>
      <c r="K37" s="143" t="n">
        <v>275</v>
      </c>
      <c r="L37" s="98">
        <f>IF(J37&gt;0,(J37-K37)/J37,"")</f>
        <v/>
      </c>
      <c r="M37" s="99" t="inlineStr">
        <is>
          <t>*Transformador pequeno preto leve</t>
        </is>
      </c>
    </row>
    <row r="38"/>
    <row r="39" ht="26" customHeight="1">
      <c r="A39" s="104" t="inlineStr">
        <is>
          <t xml:space="preserve">  TOTAL: 27 itens</t>
        </is>
      </c>
      <c r="B39" s="144" t="n"/>
      <c r="C39" s="144" t="n"/>
      <c r="D39" s="144" t="n"/>
      <c r="E39" s="144" t="n"/>
      <c r="F39" s="145" t="n"/>
      <c r="G39" s="105" t="n"/>
      <c r="H39" s="105" t="n"/>
      <c r="I39" s="105" t="n"/>
      <c r="J39" s="106" t="n">
        <v>33655</v>
      </c>
      <c r="K39" s="105" t="n"/>
      <c r="L39" s="105" t="n"/>
      <c r="M39" s="105" t="n"/>
    </row>
    <row r="40"/>
    <row r="41" ht="18" customHeight="1">
      <c r="A41" s="34" t="inlineStr">
        <is>
          <t>MMD Eventos  |  Inventario Inteligente  |  03/04/2026</t>
        </is>
      </c>
    </row>
  </sheetData>
  <autoFilter ref="A4:M4"/>
  <mergeCells count="10">
    <mergeCell ref="A14:M14"/>
    <mergeCell ref="A1:M1"/>
    <mergeCell ref="A5:M5"/>
    <mergeCell ref="A16:M16"/>
    <mergeCell ref="A34:M34"/>
    <mergeCell ref="A9:M9"/>
    <mergeCell ref="A7:M7"/>
    <mergeCell ref="A41:M41"/>
    <mergeCell ref="A2:M2"/>
    <mergeCell ref="A39:F39"/>
  </mergeCells>
  <conditionalFormatting sqref="G5:G241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41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41">
    <cfRule type="expression" priority="12" dxfId="10">
      <formula>I5="★★★★★"</formula>
    </cfRule>
    <cfRule type="expression" priority="13" dxfId="11">
      <formula>I5="★★★★☆"</formula>
    </cfRule>
    <cfRule type="expression" priority="14" dxfId="12">
      <formula>I5="★★★☆☆"</formula>
    </cfRule>
    <cfRule type="expression" priority="15" dxfId="13">
      <formula>I5="★★☆☆☆"</formula>
    </cfRule>
    <cfRule type="expression" priority="16" dxfId="14">
      <formula>I5="★☆☆☆☆"</formula>
    </cfRule>
  </conditionalFormatting>
  <conditionalFormatting sqref="L5:L241">
    <cfRule type="cellIs" priority="17" operator="lessThan" dxfId="0">
      <formula>0.2</formula>
    </cfRule>
    <cfRule type="cellIs" priority="18" operator="between" dxfId="2">
      <formula>0.2</formula>
      <formula>0.4</formula>
    </cfRule>
    <cfRule type="cellIs" priority="19" operator="between" dxfId="15">
      <formula>0.4</formula>
      <formula>0.6</formula>
    </cfRule>
    <cfRule type="cellIs" priority="20" operator="greaterThanOrEqual" dxfId="16">
      <formula>0.6</formula>
    </cfRule>
  </conditionalFormatting>
  <dataValidations count="3">
    <dataValidation sqref="G5:G241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41" showDropDown="0" showInputMessage="0" showErrorMessage="0" allowBlank="1" type="list">
      <formula1>"NOVO,SEMI_NOVO,USADO,RECONDICIONADO"</formula1>
    </dataValidation>
    <dataValidation sqref="I5:I241" showDropDown="0" showInputMessage="0" showErrorMessage="0" allowBlank="1" type="list">
      <formula1>"★☆☆☆☆,★★☆☆☆,★★★☆☆,★★★★☆,★★★★★"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5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  <hyperlink xmlns:r="http://schemas.openxmlformats.org/officeDocument/2006/relationships" ref="A32" r:id="rId23"/>
    <hyperlink xmlns:r="http://schemas.openxmlformats.org/officeDocument/2006/relationships" ref="A33" r:id="rId24"/>
    <hyperlink xmlns:r="http://schemas.openxmlformats.org/officeDocument/2006/relationships" ref="A35" r:id="rId25"/>
    <hyperlink xmlns:r="http://schemas.openxmlformats.org/officeDocument/2006/relationships" ref="A36" r:id="rId26"/>
    <hyperlink xmlns:r="http://schemas.openxmlformats.org/officeDocument/2006/relationships" ref="A37" r:id="rId27"/>
  </hyperlink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3B82F6"/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22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0" customWidth="1" min="12" max="12"/>
    <col width="36" customWidth="1" min="13" max="13"/>
  </cols>
  <sheetData>
    <row r="1" ht="38" customHeight="1">
      <c r="A1" s="119" t="inlineStr">
        <is>
          <t>ESTRUTURA  —  Tripes, Box Truss, Praticaveis</t>
        </is>
      </c>
    </row>
    <row r="2" ht="22" customHeight="1">
      <c r="A2" s="90" t="inlineStr">
        <is>
          <t>43 itens   |   Valor: R$ 17.629,93   |   Desgaste medio: 3,0/5</t>
        </is>
      </c>
    </row>
    <row r="3" ht="6" customHeight="1"/>
    <row r="4" ht="28" customHeight="1">
      <c r="A4" s="91" t="inlineStr">
        <is>
          <t>Codigo</t>
        </is>
      </c>
      <c r="B4" s="91" t="inlineStr">
        <is>
          <t>Nome</t>
        </is>
      </c>
      <c r="C4" s="91" t="inlineStr">
        <is>
          <t>Marca</t>
        </is>
      </c>
      <c r="D4" s="91" t="inlineStr">
        <is>
          <t>Subcategoria</t>
        </is>
      </c>
      <c r="E4" s="91" t="inlineStr">
        <is>
          <t>Serial Fab.</t>
        </is>
      </c>
      <c r="F4" s="91" t="inlineStr">
        <is>
          <t>Tag RFID</t>
        </is>
      </c>
      <c r="G4" s="91" t="inlineStr">
        <is>
          <t>Status</t>
        </is>
      </c>
      <c r="H4" s="91" t="inlineStr">
        <is>
          <t>Estado</t>
        </is>
      </c>
      <c r="I4" s="91" t="inlineStr">
        <is>
          <t>Desgaste</t>
        </is>
      </c>
      <c r="J4" s="91" t="inlineStr">
        <is>
          <t>Valor Original</t>
        </is>
      </c>
      <c r="K4" s="91" t="inlineStr">
        <is>
          <t>Valor Atual</t>
        </is>
      </c>
      <c r="L4" s="91" t="inlineStr">
        <is>
          <t>Deprec.%</t>
        </is>
      </c>
      <c r="M4" s="91" t="inlineStr">
        <is>
          <t>Notas</t>
        </is>
      </c>
    </row>
    <row r="5" ht="24" customHeight="1">
      <c r="A5" s="120" t="inlineStr">
        <is>
          <t xml:space="preserve">  BOX TRUSS  (1)</t>
        </is>
      </c>
    </row>
    <row r="6" ht="22" customHeight="1">
      <c r="A6" s="87" t="inlineStr">
        <is>
          <t>MMD-EST-0035</t>
        </is>
      </c>
      <c r="B6" s="75" t="inlineStr">
        <is>
          <t>Q20 3 M X 2 M COM BASE</t>
        </is>
      </c>
      <c r="C6" s="58" t="inlineStr"/>
      <c r="D6" s="58" t="inlineStr">
        <is>
          <t>BOX TRUSS</t>
        </is>
      </c>
      <c r="E6" s="58" t="inlineStr"/>
      <c r="F6" s="58" t="inlineStr"/>
      <c r="G6" s="58" t="inlineStr">
        <is>
          <t>DISPONIVEL</t>
        </is>
      </c>
      <c r="H6" s="58" t="inlineStr">
        <is>
          <t>USADO</t>
        </is>
      </c>
      <c r="I6" s="103" t="inlineStr">
        <is>
          <t>★★★☆☆</t>
        </is>
      </c>
      <c r="J6" s="142" t="n">
        <v>1720</v>
      </c>
      <c r="K6" s="143" t="n">
        <v>1720</v>
      </c>
      <c r="L6" s="98">
        <f>IF(J6&gt;0,(J6-K6)/J6,"")</f>
        <v/>
      </c>
      <c r="M6" s="99" t="inlineStr"/>
    </row>
    <row r="7" ht="24" customHeight="1">
      <c r="A7" s="120" t="inlineStr">
        <is>
          <t xml:space="preserve">  GERAL  (3)</t>
        </is>
      </c>
    </row>
    <row r="8" ht="22" customHeight="1">
      <c r="A8" s="65" t="inlineStr">
        <is>
          <t>MMD-EST-0036</t>
        </is>
      </c>
      <c r="B8" s="79" t="inlineStr">
        <is>
          <t>PÉS DE 1 METRO</t>
        </is>
      </c>
      <c r="C8" s="53" t="inlineStr"/>
      <c r="D8" s="53" t="inlineStr">
        <is>
          <t>GERAL</t>
        </is>
      </c>
      <c r="E8" s="53" t="inlineStr"/>
      <c r="F8" s="53" t="inlineStr"/>
      <c r="G8" s="53" t="inlineStr">
        <is>
          <t>DISPONIVEL</t>
        </is>
      </c>
      <c r="H8" s="53" t="inlineStr">
        <is>
          <t>USADO</t>
        </is>
      </c>
      <c r="I8" s="103" t="inlineStr">
        <is>
          <t>★★★☆☆</t>
        </is>
      </c>
      <c r="J8" s="141" t="n">
        <v>346.29</v>
      </c>
      <c r="K8" s="143" t="n">
        <v>570.62</v>
      </c>
      <c r="L8" s="101">
        <f>IF(J8&gt;0,(J8-K8)/J8,"")</f>
        <v/>
      </c>
      <c r="M8" s="102" t="inlineStr"/>
    </row>
    <row r="9" ht="22" customHeight="1">
      <c r="A9" s="87" t="inlineStr">
        <is>
          <t>MMD-EST-0037</t>
        </is>
      </c>
      <c r="B9" s="75" t="inlineStr">
        <is>
          <t>PÉS DE 20 CM</t>
        </is>
      </c>
      <c r="C9" s="58" t="inlineStr"/>
      <c r="D9" s="58" t="inlineStr">
        <is>
          <t>GERAL</t>
        </is>
      </c>
      <c r="E9" s="58" t="inlineStr"/>
      <c r="F9" s="58" t="inlineStr"/>
      <c r="G9" s="58" t="inlineStr">
        <is>
          <t>DISPONIVEL</t>
        </is>
      </c>
      <c r="H9" s="58" t="inlineStr">
        <is>
          <t>USADO</t>
        </is>
      </c>
      <c r="I9" s="103" t="inlineStr">
        <is>
          <t>★★★☆☆</t>
        </is>
      </c>
      <c r="J9" s="142" t="n">
        <v>346.29</v>
      </c>
      <c r="K9" s="143" t="n">
        <v>570.62</v>
      </c>
      <c r="L9" s="98">
        <f>IF(J9&gt;0,(J9-K9)/J9,"")</f>
        <v/>
      </c>
      <c r="M9" s="99" t="inlineStr"/>
    </row>
    <row r="10" ht="22" customHeight="1">
      <c r="A10" s="65" t="inlineStr">
        <is>
          <t>MMD-EST-0038</t>
        </is>
      </c>
      <c r="B10" s="79" t="inlineStr">
        <is>
          <t>PÉS DE 40 CM</t>
        </is>
      </c>
      <c r="C10" s="53" t="inlineStr"/>
      <c r="D10" s="53" t="inlineStr">
        <is>
          <t>GERAL</t>
        </is>
      </c>
      <c r="E10" s="53" t="inlineStr"/>
      <c r="F10" s="53" t="inlineStr"/>
      <c r="G10" s="53" t="inlineStr">
        <is>
          <t>DISPONIVEL</t>
        </is>
      </c>
      <c r="H10" s="53" t="inlineStr">
        <is>
          <t>USADO</t>
        </is>
      </c>
      <c r="I10" s="103" t="inlineStr">
        <is>
          <t>★★★☆☆</t>
        </is>
      </c>
      <c r="J10" s="141" t="n">
        <v>346.29</v>
      </c>
      <c r="K10" s="143" t="n">
        <v>570.62</v>
      </c>
      <c r="L10" s="101">
        <f>IF(J10&gt;0,(J10-K10)/J10,"")</f>
        <v/>
      </c>
      <c r="M10" s="102" t="inlineStr"/>
    </row>
    <row r="11" ht="24" customHeight="1">
      <c r="A11" s="120" t="inlineStr">
        <is>
          <t xml:space="preserve">  PRATICAVEL  (5)</t>
        </is>
      </c>
    </row>
    <row r="12" ht="22" customHeight="1">
      <c r="A12" s="87" t="inlineStr">
        <is>
          <t>MMD-EST-0039</t>
        </is>
      </c>
      <c r="B12" s="75" t="inlineStr">
        <is>
          <t>PRATICÁVEL 1.6 X 0.8 M</t>
        </is>
      </c>
      <c r="C12" s="58" t="inlineStr"/>
      <c r="D12" s="58" t="inlineStr">
        <is>
          <t>PRATICAVEL</t>
        </is>
      </c>
      <c r="E12" s="58" t="inlineStr"/>
      <c r="F12" s="58" t="inlineStr"/>
      <c r="G12" s="58" t="inlineStr">
        <is>
          <t>DISPONIVEL</t>
        </is>
      </c>
      <c r="H12" s="58" t="inlineStr">
        <is>
          <t>USADO</t>
        </is>
      </c>
      <c r="I12" s="103" t="inlineStr">
        <is>
          <t>★★★☆☆</t>
        </is>
      </c>
      <c r="J12" s="142" t="n">
        <v>1499.9</v>
      </c>
      <c r="K12" s="143" t="n">
        <v>981.3</v>
      </c>
      <c r="L12" s="98">
        <f>IF(J12&gt;0,(J12-K12)/J12,"")</f>
        <v/>
      </c>
      <c r="M12" s="99" t="inlineStr"/>
    </row>
    <row r="13" ht="22" customHeight="1">
      <c r="A13" s="65" t="inlineStr">
        <is>
          <t>MMD-EST-0040</t>
        </is>
      </c>
      <c r="B13" s="79" t="inlineStr">
        <is>
          <t>PRATICÁVEL 2 x 1 m</t>
        </is>
      </c>
      <c r="C13" s="53" t="inlineStr"/>
      <c r="D13" s="53" t="inlineStr">
        <is>
          <t>PRATICAVEL</t>
        </is>
      </c>
      <c r="E13" s="53" t="inlineStr"/>
      <c r="F13" s="53" t="inlineStr"/>
      <c r="G13" s="53" t="inlineStr">
        <is>
          <t>DISPONIVEL</t>
        </is>
      </c>
      <c r="H13" s="53" t="inlineStr">
        <is>
          <t>USADO</t>
        </is>
      </c>
      <c r="I13" s="103" t="inlineStr">
        <is>
          <t>★★★☆☆</t>
        </is>
      </c>
      <c r="J13" s="141" t="n">
        <v>1499.9</v>
      </c>
      <c r="K13" s="143" t="n">
        <v>1499.9</v>
      </c>
      <c r="L13" s="101">
        <f>IF(J13&gt;0,(J13-K13)/J13,"")</f>
        <v/>
      </c>
      <c r="M13" s="102" t="inlineStr"/>
    </row>
    <row r="14" ht="22" customHeight="1">
      <c r="A14" s="87" t="inlineStr">
        <is>
          <t>MMD-EST-0041</t>
        </is>
      </c>
      <c r="B14" s="75" t="inlineStr">
        <is>
          <t>PRATICÁVEL 2 x 1 m</t>
        </is>
      </c>
      <c r="C14" s="58" t="inlineStr"/>
      <c r="D14" s="58" t="inlineStr">
        <is>
          <t>PRATICAVEL</t>
        </is>
      </c>
      <c r="E14" s="58" t="inlineStr"/>
      <c r="F14" s="58" t="inlineStr"/>
      <c r="G14" s="58" t="inlineStr">
        <is>
          <t>DISPONIVEL</t>
        </is>
      </c>
      <c r="H14" s="58" t="inlineStr">
        <is>
          <t>USADO</t>
        </is>
      </c>
      <c r="I14" s="103" t="inlineStr">
        <is>
          <t>★★★☆☆</t>
        </is>
      </c>
      <c r="J14" s="142" t="n">
        <v>1499.9</v>
      </c>
      <c r="K14" s="143" t="n">
        <v>1499.9</v>
      </c>
      <c r="L14" s="98">
        <f>IF(J14&gt;0,(J14-K14)/J14,"")</f>
        <v/>
      </c>
      <c r="M14" s="99" t="inlineStr"/>
    </row>
    <row r="15" ht="22" customHeight="1">
      <c r="A15" s="65" t="inlineStr">
        <is>
          <t>MMD-EST-0042</t>
        </is>
      </c>
      <c r="B15" s="79" t="inlineStr">
        <is>
          <t>PRATICÁVEL 2 x 1 m</t>
        </is>
      </c>
      <c r="C15" s="53" t="inlineStr"/>
      <c r="D15" s="53" t="inlineStr">
        <is>
          <t>PRATICAVEL</t>
        </is>
      </c>
      <c r="E15" s="53" t="inlineStr"/>
      <c r="F15" s="53" t="inlineStr"/>
      <c r="G15" s="53" t="inlineStr">
        <is>
          <t>DISPONIVEL</t>
        </is>
      </c>
      <c r="H15" s="53" t="inlineStr">
        <is>
          <t>USADO</t>
        </is>
      </c>
      <c r="I15" s="103" t="inlineStr">
        <is>
          <t>★★★☆☆</t>
        </is>
      </c>
      <c r="J15" s="141" t="n">
        <v>1499.9</v>
      </c>
      <c r="K15" s="143" t="n">
        <v>1499.9</v>
      </c>
      <c r="L15" s="101">
        <f>IF(J15&gt;0,(J15-K15)/J15,"")</f>
        <v/>
      </c>
      <c r="M15" s="102" t="inlineStr"/>
    </row>
    <row r="16" ht="22" customHeight="1">
      <c r="A16" s="87" t="inlineStr">
        <is>
          <t>MMD-EST-0043</t>
        </is>
      </c>
      <c r="B16" s="75" t="inlineStr">
        <is>
          <t>PRATICÁVEL 2 x 1 m</t>
        </is>
      </c>
      <c r="C16" s="58" t="inlineStr"/>
      <c r="D16" s="58" t="inlineStr">
        <is>
          <t>PRATICAVEL</t>
        </is>
      </c>
      <c r="E16" s="58" t="inlineStr"/>
      <c r="F16" s="58" t="inlineStr"/>
      <c r="G16" s="58" t="inlineStr">
        <is>
          <t>DISPONIVEL</t>
        </is>
      </c>
      <c r="H16" s="58" t="inlineStr">
        <is>
          <t>USADO</t>
        </is>
      </c>
      <c r="I16" s="103" t="inlineStr">
        <is>
          <t>★★★☆☆</t>
        </is>
      </c>
      <c r="J16" s="142" t="n">
        <v>1499.9</v>
      </c>
      <c r="K16" s="143" t="n">
        <v>1499.9</v>
      </c>
      <c r="L16" s="98">
        <f>IF(J16&gt;0,(J16-K16)/J16,"")</f>
        <v/>
      </c>
      <c r="M16" s="99" t="inlineStr"/>
    </row>
    <row r="17" ht="24" customHeight="1">
      <c r="A17" s="120" t="inlineStr">
        <is>
          <t xml:space="preserve">  SUP TV  (4)</t>
        </is>
      </c>
    </row>
    <row r="18" ht="22" customHeight="1">
      <c r="A18" s="65" t="inlineStr">
        <is>
          <t>MMD-EST-0031</t>
        </is>
      </c>
      <c r="B18" s="79" t="inlineStr"/>
      <c r="C18" s="53" t="inlineStr"/>
      <c r="D18" s="53" t="inlineStr">
        <is>
          <t>SUP TV</t>
        </is>
      </c>
      <c r="E18" s="53" t="inlineStr"/>
      <c r="F18" s="53" t="inlineStr"/>
      <c r="G18" s="53" t="inlineStr">
        <is>
          <t>DISPONIVEL</t>
        </is>
      </c>
      <c r="H18" s="53" t="inlineStr">
        <is>
          <t>USADO</t>
        </is>
      </c>
      <c r="I18" s="103" t="inlineStr">
        <is>
          <t>★★★☆☆</t>
        </is>
      </c>
      <c r="J18" s="141" t="n">
        <v>346.29</v>
      </c>
      <c r="K18" s="143" t="n">
        <v>19</v>
      </c>
      <c r="L18" s="101">
        <f>IF(J18&gt;0,(J18-K18)/J18,"")</f>
        <v/>
      </c>
      <c r="M18" s="102" t="inlineStr"/>
    </row>
    <row r="19" ht="22" customHeight="1">
      <c r="A19" s="87" t="inlineStr">
        <is>
          <t>MMD-EST-0032</t>
        </is>
      </c>
      <c r="B19" s="75" t="inlineStr"/>
      <c r="C19" s="58" t="inlineStr"/>
      <c r="D19" s="58" t="inlineStr">
        <is>
          <t>SUP TV</t>
        </is>
      </c>
      <c r="E19" s="58" t="inlineStr"/>
      <c r="F19" s="58" t="inlineStr"/>
      <c r="G19" s="58" t="inlineStr">
        <is>
          <t>DISPONIVEL</t>
        </is>
      </c>
      <c r="H19" s="58" t="inlineStr">
        <is>
          <t>USADO</t>
        </is>
      </c>
      <c r="I19" s="103" t="inlineStr">
        <is>
          <t>★★★☆☆</t>
        </is>
      </c>
      <c r="J19" s="142" t="n">
        <v>346.29</v>
      </c>
      <c r="K19" s="143" t="n">
        <v>19</v>
      </c>
      <c r="L19" s="98">
        <f>IF(J19&gt;0,(J19-K19)/J19,"")</f>
        <v/>
      </c>
      <c r="M19" s="99" t="inlineStr"/>
    </row>
    <row r="20" ht="22" customHeight="1">
      <c r="A20" s="65" t="inlineStr">
        <is>
          <t>MMD-EST-0033</t>
        </is>
      </c>
      <c r="B20" s="79" t="inlineStr"/>
      <c r="C20" s="53" t="inlineStr"/>
      <c r="D20" s="53" t="inlineStr">
        <is>
          <t>SUP TV</t>
        </is>
      </c>
      <c r="E20" s="53" t="inlineStr"/>
      <c r="F20" s="53" t="inlineStr"/>
      <c r="G20" s="53" t="inlineStr">
        <is>
          <t>DISPONIVEL</t>
        </is>
      </c>
      <c r="H20" s="53" t="inlineStr">
        <is>
          <t>USADO</t>
        </is>
      </c>
      <c r="I20" s="103" t="inlineStr">
        <is>
          <t>★★★☆☆</t>
        </is>
      </c>
      <c r="J20" s="141" t="n">
        <v>346.29</v>
      </c>
      <c r="K20" s="143" t="n">
        <v>19</v>
      </c>
      <c r="L20" s="101">
        <f>IF(J20&gt;0,(J20-K20)/J20,"")</f>
        <v/>
      </c>
      <c r="M20" s="102" t="inlineStr"/>
    </row>
    <row r="21" ht="22" customHeight="1">
      <c r="A21" s="87" t="inlineStr">
        <is>
          <t>MMD-EST-0034</t>
        </is>
      </c>
      <c r="B21" s="75" t="inlineStr"/>
      <c r="C21" s="58" t="inlineStr"/>
      <c r="D21" s="58" t="inlineStr">
        <is>
          <t>SUP TV</t>
        </is>
      </c>
      <c r="E21" s="58" t="inlineStr"/>
      <c r="F21" s="58" t="inlineStr"/>
      <c r="G21" s="58" t="inlineStr">
        <is>
          <t>DISPONIVEL</t>
        </is>
      </c>
      <c r="H21" s="58" t="inlineStr">
        <is>
          <t>USADO</t>
        </is>
      </c>
      <c r="I21" s="103" t="inlineStr">
        <is>
          <t>★★★☆☆</t>
        </is>
      </c>
      <c r="J21" s="142" t="n">
        <v>346.29</v>
      </c>
      <c r="K21" s="143" t="n">
        <v>19</v>
      </c>
      <c r="L21" s="98">
        <f>IF(J21&gt;0,(J21-K21)/J21,"")</f>
        <v/>
      </c>
      <c r="M21" s="99" t="inlineStr"/>
    </row>
    <row r="22" ht="24" customHeight="1">
      <c r="A22" s="120" t="inlineStr">
        <is>
          <t xml:space="preserve">  TRIPE CAIXA  (14)</t>
        </is>
      </c>
    </row>
    <row r="23" ht="22" customHeight="1">
      <c r="A23" s="65" t="inlineStr">
        <is>
          <t>MMD-EST-0001</t>
        </is>
      </c>
      <c r="B23" s="79" t="inlineStr">
        <is>
          <t>Staner</t>
        </is>
      </c>
      <c r="C23" s="53" t="inlineStr">
        <is>
          <t>Staner</t>
        </is>
      </c>
      <c r="D23" s="53" t="inlineStr">
        <is>
          <t>TRIPE CAIXA</t>
        </is>
      </c>
      <c r="E23" s="53" t="inlineStr"/>
      <c r="F23" s="53" t="inlineStr"/>
      <c r="G23" s="53" t="inlineStr">
        <is>
          <t>DISPONIVEL</t>
        </is>
      </c>
      <c r="H23" s="53" t="inlineStr">
        <is>
          <t>USADO</t>
        </is>
      </c>
      <c r="I23" s="103" t="inlineStr">
        <is>
          <t>★★★☆☆</t>
        </is>
      </c>
      <c r="J23" s="141" t="n">
        <v>270</v>
      </c>
      <c r="K23" s="143" t="n">
        <v>159.95</v>
      </c>
      <c r="L23" s="101">
        <f>IF(J23&gt;0,(J23-K23)/J23,"")</f>
        <v/>
      </c>
      <c r="M23" s="102" t="inlineStr"/>
    </row>
    <row r="24" ht="22" customHeight="1">
      <c r="A24" s="87" t="inlineStr">
        <is>
          <t>MMD-EST-0002</t>
        </is>
      </c>
      <c r="B24" s="75" t="inlineStr">
        <is>
          <t>Staner</t>
        </is>
      </c>
      <c r="C24" s="58" t="inlineStr">
        <is>
          <t>Staner</t>
        </is>
      </c>
      <c r="D24" s="58" t="inlineStr">
        <is>
          <t>TRIPE CAIXA</t>
        </is>
      </c>
      <c r="E24" s="58" t="inlineStr"/>
      <c r="F24" s="58" t="inlineStr"/>
      <c r="G24" s="58" t="inlineStr">
        <is>
          <t>DISPONIVEL</t>
        </is>
      </c>
      <c r="H24" s="58" t="inlineStr">
        <is>
          <t>USADO</t>
        </is>
      </c>
      <c r="I24" s="103" t="inlineStr">
        <is>
          <t>★★★☆☆</t>
        </is>
      </c>
      <c r="J24" s="142" t="n">
        <v>270</v>
      </c>
      <c r="K24" s="143" t="n">
        <v>159.95</v>
      </c>
      <c r="L24" s="98">
        <f>IF(J24&gt;0,(J24-K24)/J24,"")</f>
        <v/>
      </c>
      <c r="M24" s="99" t="inlineStr"/>
    </row>
    <row r="25" ht="22" customHeight="1">
      <c r="A25" s="65" t="inlineStr">
        <is>
          <t>MMD-EST-0003</t>
        </is>
      </c>
      <c r="B25" s="79" t="inlineStr">
        <is>
          <t>Staner</t>
        </is>
      </c>
      <c r="C25" s="53" t="inlineStr">
        <is>
          <t>Staner</t>
        </is>
      </c>
      <c r="D25" s="53" t="inlineStr">
        <is>
          <t>TRIPE CAIXA</t>
        </is>
      </c>
      <c r="E25" s="53" t="inlineStr"/>
      <c r="F25" s="53" t="inlineStr"/>
      <c r="G25" s="53" t="inlineStr">
        <is>
          <t>DISPONIVEL</t>
        </is>
      </c>
      <c r="H25" s="53" t="inlineStr">
        <is>
          <t>USADO</t>
        </is>
      </c>
      <c r="I25" s="103" t="inlineStr">
        <is>
          <t>★★★☆☆</t>
        </is>
      </c>
      <c r="J25" s="141" t="n">
        <v>270</v>
      </c>
      <c r="K25" s="143" t="n">
        <v>159.95</v>
      </c>
      <c r="L25" s="101">
        <f>IF(J25&gt;0,(J25-K25)/J25,"")</f>
        <v/>
      </c>
      <c r="M25" s="102" t="inlineStr"/>
    </row>
    <row r="26" ht="22" customHeight="1">
      <c r="A26" s="87" t="inlineStr">
        <is>
          <t>MMD-EST-0004</t>
        </is>
      </c>
      <c r="B26" s="75" t="inlineStr">
        <is>
          <t>Staner</t>
        </is>
      </c>
      <c r="C26" s="58" t="inlineStr">
        <is>
          <t>Staner</t>
        </is>
      </c>
      <c r="D26" s="58" t="inlineStr">
        <is>
          <t>TRIPE CAIXA</t>
        </is>
      </c>
      <c r="E26" s="58" t="inlineStr"/>
      <c r="F26" s="58" t="inlineStr"/>
      <c r="G26" s="58" t="inlineStr">
        <is>
          <t>DISPONIVEL</t>
        </is>
      </c>
      <c r="H26" s="58" t="inlineStr">
        <is>
          <t>USADO</t>
        </is>
      </c>
      <c r="I26" s="103" t="inlineStr">
        <is>
          <t>★★★☆☆</t>
        </is>
      </c>
      <c r="J26" s="142" t="n">
        <v>270</v>
      </c>
      <c r="K26" s="143" t="n">
        <v>159.95</v>
      </c>
      <c r="L26" s="98">
        <f>IF(J26&gt;0,(J26-K26)/J26,"")</f>
        <v/>
      </c>
      <c r="M26" s="99" t="inlineStr"/>
    </row>
    <row r="27" ht="22" customHeight="1">
      <c r="A27" s="65" t="inlineStr">
        <is>
          <t>MMD-EST-0005</t>
        </is>
      </c>
      <c r="B27" s="79" t="inlineStr">
        <is>
          <t>Staner</t>
        </is>
      </c>
      <c r="C27" s="53" t="inlineStr">
        <is>
          <t>Staner</t>
        </is>
      </c>
      <c r="D27" s="53" t="inlineStr">
        <is>
          <t>TRIPE CAIXA</t>
        </is>
      </c>
      <c r="E27" s="53" t="inlineStr"/>
      <c r="F27" s="53" t="inlineStr"/>
      <c r="G27" s="53" t="inlineStr">
        <is>
          <t>DISPONIVEL</t>
        </is>
      </c>
      <c r="H27" s="53" t="inlineStr">
        <is>
          <t>USADO</t>
        </is>
      </c>
      <c r="I27" s="103" t="inlineStr">
        <is>
          <t>★★★☆☆</t>
        </is>
      </c>
      <c r="J27" s="141" t="n">
        <v>270</v>
      </c>
      <c r="K27" s="143" t="n">
        <v>159.95</v>
      </c>
      <c r="L27" s="101">
        <f>IF(J27&gt;0,(J27-K27)/J27,"")</f>
        <v/>
      </c>
      <c r="M27" s="102" t="inlineStr"/>
    </row>
    <row r="28" ht="22" customHeight="1">
      <c r="A28" s="87" t="inlineStr">
        <is>
          <t>MMD-EST-0006</t>
        </is>
      </c>
      <c r="B28" s="75" t="inlineStr">
        <is>
          <t>Staner</t>
        </is>
      </c>
      <c r="C28" s="58" t="inlineStr">
        <is>
          <t>Staner</t>
        </is>
      </c>
      <c r="D28" s="58" t="inlineStr">
        <is>
          <t>TRIPE CAIXA</t>
        </is>
      </c>
      <c r="E28" s="58" t="inlineStr"/>
      <c r="F28" s="58" t="inlineStr"/>
      <c r="G28" s="58" t="inlineStr">
        <is>
          <t>DISPONIVEL</t>
        </is>
      </c>
      <c r="H28" s="58" t="inlineStr">
        <is>
          <t>USADO</t>
        </is>
      </c>
      <c r="I28" s="103" t="inlineStr">
        <is>
          <t>★★★☆☆</t>
        </is>
      </c>
      <c r="J28" s="142" t="n">
        <v>270</v>
      </c>
      <c r="K28" s="143" t="n">
        <v>159.95</v>
      </c>
      <c r="L28" s="98">
        <f>IF(J28&gt;0,(J28-K28)/J28,"")</f>
        <v/>
      </c>
      <c r="M28" s="99" t="inlineStr"/>
    </row>
    <row r="29" ht="22" customHeight="1">
      <c r="A29" s="65" t="inlineStr">
        <is>
          <t>MMD-EST-0007</t>
        </is>
      </c>
      <c r="B29" s="79" t="inlineStr">
        <is>
          <t>Staner</t>
        </is>
      </c>
      <c r="C29" s="53" t="inlineStr">
        <is>
          <t>Staner</t>
        </is>
      </c>
      <c r="D29" s="53" t="inlineStr">
        <is>
          <t>TRIPE CAIXA</t>
        </is>
      </c>
      <c r="E29" s="53" t="inlineStr"/>
      <c r="F29" s="53" t="inlineStr"/>
      <c r="G29" s="53" t="inlineStr">
        <is>
          <t>DISPONIVEL</t>
        </is>
      </c>
      <c r="H29" s="53" t="inlineStr">
        <is>
          <t>USADO</t>
        </is>
      </c>
      <c r="I29" s="103" t="inlineStr">
        <is>
          <t>★★★☆☆</t>
        </is>
      </c>
      <c r="J29" s="141" t="n">
        <v>270</v>
      </c>
      <c r="K29" s="143" t="n">
        <v>159.95</v>
      </c>
      <c r="L29" s="101">
        <f>IF(J29&gt;0,(J29-K29)/J29,"")</f>
        <v/>
      </c>
      <c r="M29" s="102" t="inlineStr"/>
    </row>
    <row r="30" ht="22" customHeight="1">
      <c r="A30" s="87" t="inlineStr">
        <is>
          <t>MMD-EST-0008</t>
        </is>
      </c>
      <c r="B30" s="75" t="inlineStr">
        <is>
          <t>Staner</t>
        </is>
      </c>
      <c r="C30" s="58" t="inlineStr">
        <is>
          <t>Staner</t>
        </is>
      </c>
      <c r="D30" s="58" t="inlineStr">
        <is>
          <t>TRIPE CAIXA</t>
        </is>
      </c>
      <c r="E30" s="58" t="inlineStr"/>
      <c r="F30" s="58" t="inlineStr"/>
      <c r="G30" s="58" t="inlineStr">
        <is>
          <t>DISPONIVEL</t>
        </is>
      </c>
      <c r="H30" s="58" t="inlineStr">
        <is>
          <t>USADO</t>
        </is>
      </c>
      <c r="I30" s="103" t="inlineStr">
        <is>
          <t>★★★☆☆</t>
        </is>
      </c>
      <c r="J30" s="142" t="n">
        <v>270</v>
      </c>
      <c r="K30" s="143" t="n">
        <v>159.95</v>
      </c>
      <c r="L30" s="98">
        <f>IF(J30&gt;0,(J30-K30)/J30,"")</f>
        <v/>
      </c>
      <c r="M30" s="99" t="inlineStr"/>
    </row>
    <row r="31" ht="22" customHeight="1">
      <c r="A31" s="65" t="inlineStr">
        <is>
          <t>MMD-EST-0009</t>
        </is>
      </c>
      <c r="B31" s="79" t="inlineStr">
        <is>
          <t>Staner</t>
        </is>
      </c>
      <c r="C31" s="53" t="inlineStr">
        <is>
          <t>Staner</t>
        </is>
      </c>
      <c r="D31" s="53" t="inlineStr">
        <is>
          <t>TRIPE CAIXA</t>
        </is>
      </c>
      <c r="E31" s="53" t="inlineStr"/>
      <c r="F31" s="53" t="inlineStr"/>
      <c r="G31" s="53" t="inlineStr">
        <is>
          <t>DISPONIVEL</t>
        </is>
      </c>
      <c r="H31" s="53" t="inlineStr">
        <is>
          <t>USADO</t>
        </is>
      </c>
      <c r="I31" s="103" t="inlineStr">
        <is>
          <t>★★★☆☆</t>
        </is>
      </c>
      <c r="J31" s="141" t="n">
        <v>270</v>
      </c>
      <c r="K31" s="143" t="n">
        <v>159.95</v>
      </c>
      <c r="L31" s="101">
        <f>IF(J31&gt;0,(J31-K31)/J31,"")</f>
        <v/>
      </c>
      <c r="M31" s="102" t="inlineStr"/>
    </row>
    <row r="32" ht="22" customHeight="1">
      <c r="A32" s="87" t="inlineStr">
        <is>
          <t>MMD-EST-0010</t>
        </is>
      </c>
      <c r="B32" s="75" t="inlineStr">
        <is>
          <t>Staner</t>
        </is>
      </c>
      <c r="C32" s="58" t="inlineStr">
        <is>
          <t>Staner</t>
        </is>
      </c>
      <c r="D32" s="58" t="inlineStr">
        <is>
          <t>TRIPE CAIXA</t>
        </is>
      </c>
      <c r="E32" s="58" t="inlineStr"/>
      <c r="F32" s="58" t="inlineStr"/>
      <c r="G32" s="58" t="inlineStr">
        <is>
          <t>DISPONIVEL</t>
        </is>
      </c>
      <c r="H32" s="58" t="inlineStr">
        <is>
          <t>USADO</t>
        </is>
      </c>
      <c r="I32" s="103" t="inlineStr">
        <is>
          <t>★★★☆☆</t>
        </is>
      </c>
      <c r="J32" s="142" t="n">
        <v>270</v>
      </c>
      <c r="K32" s="143" t="n">
        <v>159.95</v>
      </c>
      <c r="L32" s="98">
        <f>IF(J32&gt;0,(J32-K32)/J32,"")</f>
        <v/>
      </c>
      <c r="M32" s="99" t="inlineStr"/>
    </row>
    <row r="33" ht="22" customHeight="1">
      <c r="A33" s="65" t="inlineStr">
        <is>
          <t>MMD-EST-0011</t>
        </is>
      </c>
      <c r="B33" s="79" t="inlineStr">
        <is>
          <t>Staner</t>
        </is>
      </c>
      <c r="C33" s="53" t="inlineStr">
        <is>
          <t>Staner</t>
        </is>
      </c>
      <c r="D33" s="53" t="inlineStr">
        <is>
          <t>TRIPE CAIXA</t>
        </is>
      </c>
      <c r="E33" s="53" t="inlineStr"/>
      <c r="F33" s="53" t="inlineStr"/>
      <c r="G33" s="53" t="inlineStr">
        <is>
          <t>DISPONIVEL</t>
        </is>
      </c>
      <c r="H33" s="53" t="inlineStr">
        <is>
          <t>USADO</t>
        </is>
      </c>
      <c r="I33" s="103" t="inlineStr">
        <is>
          <t>★★★☆☆</t>
        </is>
      </c>
      <c r="J33" s="141" t="n">
        <v>270</v>
      </c>
      <c r="K33" s="143" t="n">
        <v>159.95</v>
      </c>
      <c r="L33" s="101">
        <f>IF(J33&gt;0,(J33-K33)/J33,"")</f>
        <v/>
      </c>
      <c r="M33" s="102" t="inlineStr"/>
    </row>
    <row r="34" ht="22" customHeight="1">
      <c r="A34" s="87" t="inlineStr">
        <is>
          <t>MMD-EST-0012</t>
        </is>
      </c>
      <c r="B34" s="75" t="inlineStr">
        <is>
          <t>Staner</t>
        </is>
      </c>
      <c r="C34" s="58" t="inlineStr">
        <is>
          <t>Staner</t>
        </is>
      </c>
      <c r="D34" s="58" t="inlineStr">
        <is>
          <t>TRIPE CAIXA</t>
        </is>
      </c>
      <c r="E34" s="58" t="inlineStr"/>
      <c r="F34" s="58" t="inlineStr"/>
      <c r="G34" s="58" t="inlineStr">
        <is>
          <t>DISPONIVEL</t>
        </is>
      </c>
      <c r="H34" s="58" t="inlineStr">
        <is>
          <t>USADO</t>
        </is>
      </c>
      <c r="I34" s="103" t="inlineStr">
        <is>
          <t>★★★☆☆</t>
        </is>
      </c>
      <c r="J34" s="142" t="n">
        <v>270</v>
      </c>
      <c r="K34" s="143" t="n">
        <v>159.95</v>
      </c>
      <c r="L34" s="98">
        <f>IF(J34&gt;0,(J34-K34)/J34,"")</f>
        <v/>
      </c>
      <c r="M34" s="99" t="inlineStr"/>
    </row>
    <row r="35" ht="22" customHeight="1">
      <c r="A35" s="65" t="inlineStr">
        <is>
          <t>MMD-EST-0013</t>
        </is>
      </c>
      <c r="B35" s="79" t="inlineStr">
        <is>
          <t>Staner</t>
        </is>
      </c>
      <c r="C35" s="53" t="inlineStr">
        <is>
          <t>Staner</t>
        </is>
      </c>
      <c r="D35" s="53" t="inlineStr">
        <is>
          <t>TRIPE CAIXA</t>
        </is>
      </c>
      <c r="E35" s="53" t="inlineStr"/>
      <c r="F35" s="53" t="inlineStr"/>
      <c r="G35" s="53" t="inlineStr">
        <is>
          <t>DISPONIVEL</t>
        </is>
      </c>
      <c r="H35" s="53" t="inlineStr">
        <is>
          <t>USADO</t>
        </is>
      </c>
      <c r="I35" s="103" t="inlineStr">
        <is>
          <t>★★★☆☆</t>
        </is>
      </c>
      <c r="J35" s="141" t="n">
        <v>270</v>
      </c>
      <c r="K35" s="143" t="n">
        <v>159.95</v>
      </c>
      <c r="L35" s="101">
        <f>IF(J35&gt;0,(J35-K35)/J35,"")</f>
        <v/>
      </c>
      <c r="M35" s="102" t="inlineStr"/>
    </row>
    <row r="36" ht="22" customHeight="1">
      <c r="A36" s="87" t="inlineStr">
        <is>
          <t>MMD-EST-0014</t>
        </is>
      </c>
      <c r="B36" s="75" t="inlineStr">
        <is>
          <t>Staner</t>
        </is>
      </c>
      <c r="C36" s="58" t="inlineStr">
        <is>
          <t>Staner</t>
        </is>
      </c>
      <c r="D36" s="58" t="inlineStr">
        <is>
          <t>TRIPE CAIXA</t>
        </is>
      </c>
      <c r="E36" s="58" t="inlineStr"/>
      <c r="F36" s="58" t="inlineStr"/>
      <c r="G36" s="58" t="inlineStr">
        <is>
          <t>DISPONIVEL</t>
        </is>
      </c>
      <c r="H36" s="58" t="inlineStr">
        <is>
          <t>USADO</t>
        </is>
      </c>
      <c r="I36" s="103" t="inlineStr">
        <is>
          <t>★★★☆☆</t>
        </is>
      </c>
      <c r="J36" s="142" t="n">
        <v>270</v>
      </c>
      <c r="K36" s="143" t="n">
        <v>159.95</v>
      </c>
      <c r="L36" s="98">
        <f>IF(J36&gt;0,(J36-K36)/J36,"")</f>
        <v/>
      </c>
      <c r="M36" s="99" t="inlineStr"/>
    </row>
    <row r="37" ht="24" customHeight="1">
      <c r="A37" s="120" t="inlineStr">
        <is>
          <t xml:space="preserve">  TRIPE MIC  (16)</t>
        </is>
      </c>
    </row>
    <row r="38" ht="22" customHeight="1">
      <c r="A38" s="65" t="inlineStr">
        <is>
          <t>MMD-EST-0015</t>
        </is>
      </c>
      <c r="B38" s="79" t="inlineStr">
        <is>
          <t>Saty</t>
        </is>
      </c>
      <c r="C38" s="53" t="inlineStr">
        <is>
          <t>Saty</t>
        </is>
      </c>
      <c r="D38" s="53" t="inlineStr">
        <is>
          <t>TRIPE MIC</t>
        </is>
      </c>
      <c r="E38" s="53" t="inlineStr"/>
      <c r="F38" s="53" t="inlineStr"/>
      <c r="G38" s="53" t="inlineStr">
        <is>
          <t>DISPONIVEL</t>
        </is>
      </c>
      <c r="H38" s="53" t="inlineStr">
        <is>
          <t>USADO</t>
        </is>
      </c>
      <c r="I38" s="103" t="inlineStr">
        <is>
          <t>★★★☆☆</t>
        </is>
      </c>
      <c r="J38" s="141" t="n">
        <v>137.9</v>
      </c>
      <c r="K38" s="143" t="n">
        <v>137.9</v>
      </c>
      <c r="L38" s="101">
        <f>IF(J38&gt;0,(J38-K38)/J38,"")</f>
        <v/>
      </c>
      <c r="M38" s="102" t="inlineStr"/>
    </row>
    <row r="39" ht="22" customHeight="1">
      <c r="A39" s="87" t="inlineStr">
        <is>
          <t>MMD-EST-0016</t>
        </is>
      </c>
      <c r="B39" s="75" t="inlineStr">
        <is>
          <t>Vector</t>
        </is>
      </c>
      <c r="C39" s="58" t="inlineStr">
        <is>
          <t>Vector</t>
        </is>
      </c>
      <c r="D39" s="58" t="inlineStr">
        <is>
          <t>TRIPE MIC</t>
        </is>
      </c>
      <c r="E39" s="58" t="inlineStr"/>
      <c r="F39" s="58" t="inlineStr"/>
      <c r="G39" s="58" t="inlineStr">
        <is>
          <t>DISPONIVEL</t>
        </is>
      </c>
      <c r="H39" s="58" t="inlineStr">
        <is>
          <t>USADO</t>
        </is>
      </c>
      <c r="I39" s="103" t="inlineStr">
        <is>
          <t>★★★☆☆</t>
        </is>
      </c>
      <c r="J39" s="142" t="n">
        <v>137.9</v>
      </c>
      <c r="K39" s="143" t="n">
        <v>137.9</v>
      </c>
      <c r="L39" s="98">
        <f>IF(J39&gt;0,(J39-K39)/J39,"")</f>
        <v/>
      </c>
      <c r="M39" s="99" t="inlineStr"/>
    </row>
    <row r="40" ht="22" customHeight="1">
      <c r="A40" s="65" t="inlineStr">
        <is>
          <t>MMD-EST-0017</t>
        </is>
      </c>
      <c r="B40" s="79" t="inlineStr">
        <is>
          <t>Tripé Pequeno</t>
        </is>
      </c>
      <c r="C40" s="53" t="inlineStr">
        <is>
          <t>Tripé Pequeno</t>
        </is>
      </c>
      <c r="D40" s="53" t="inlineStr">
        <is>
          <t>TRIPE MIC</t>
        </is>
      </c>
      <c r="E40" s="53" t="inlineStr"/>
      <c r="F40" s="53" t="inlineStr"/>
      <c r="G40" s="53" t="inlineStr">
        <is>
          <t>DISPONIVEL</t>
        </is>
      </c>
      <c r="H40" s="53" t="inlineStr">
        <is>
          <t>USADO</t>
        </is>
      </c>
      <c r="I40" s="103" t="inlineStr">
        <is>
          <t>★★★☆☆</t>
        </is>
      </c>
      <c r="J40" s="141" t="n">
        <v>137.9</v>
      </c>
      <c r="K40" s="143" t="n">
        <v>137.9</v>
      </c>
      <c r="L40" s="101">
        <f>IF(J40&gt;0,(J40-K40)/J40,"")</f>
        <v/>
      </c>
      <c r="M40" s="102" t="inlineStr"/>
    </row>
    <row r="41" ht="22" customHeight="1">
      <c r="A41" s="87" t="inlineStr">
        <is>
          <t>MMD-EST-0018</t>
        </is>
      </c>
      <c r="B41" s="75" t="inlineStr">
        <is>
          <t>RMV</t>
        </is>
      </c>
      <c r="C41" s="58" t="inlineStr">
        <is>
          <t>RMV</t>
        </is>
      </c>
      <c r="D41" s="58" t="inlineStr">
        <is>
          <t>TRIPE MIC</t>
        </is>
      </c>
      <c r="E41" s="58" t="inlineStr"/>
      <c r="F41" s="58" t="inlineStr"/>
      <c r="G41" s="58" t="inlineStr">
        <is>
          <t>DISPONIVEL</t>
        </is>
      </c>
      <c r="H41" s="58" t="inlineStr">
        <is>
          <t>USADO</t>
        </is>
      </c>
      <c r="I41" s="103" t="inlineStr">
        <is>
          <t>★★★☆☆</t>
        </is>
      </c>
      <c r="J41" s="142" t="n">
        <v>137.9</v>
      </c>
      <c r="K41" s="143" t="n">
        <v>137.9</v>
      </c>
      <c r="L41" s="98">
        <f>IF(J41&gt;0,(J41-K41)/J41,"")</f>
        <v/>
      </c>
      <c r="M41" s="99" t="inlineStr"/>
    </row>
    <row r="42" ht="22" customHeight="1">
      <c r="A42" s="65" t="inlineStr">
        <is>
          <t>MMD-EST-0019</t>
        </is>
      </c>
      <c r="B42" s="79" t="inlineStr">
        <is>
          <t>RMV</t>
        </is>
      </c>
      <c r="C42" s="53" t="inlineStr">
        <is>
          <t>RMV</t>
        </is>
      </c>
      <c r="D42" s="53" t="inlineStr">
        <is>
          <t>TRIPE MIC</t>
        </is>
      </c>
      <c r="E42" s="53" t="inlineStr"/>
      <c r="F42" s="53" t="inlineStr"/>
      <c r="G42" s="53" t="inlineStr">
        <is>
          <t>DISPONIVEL</t>
        </is>
      </c>
      <c r="H42" s="53" t="inlineStr">
        <is>
          <t>USADO</t>
        </is>
      </c>
      <c r="I42" s="103" t="inlineStr">
        <is>
          <t>★★★☆☆</t>
        </is>
      </c>
      <c r="J42" s="141" t="n">
        <v>137.9</v>
      </c>
      <c r="K42" s="143" t="n">
        <v>137.9</v>
      </c>
      <c r="L42" s="101">
        <f>IF(J42&gt;0,(J42-K42)/J42,"")</f>
        <v/>
      </c>
      <c r="M42" s="102" t="inlineStr"/>
    </row>
    <row r="43" ht="22" customHeight="1">
      <c r="A43" s="87" t="inlineStr">
        <is>
          <t>MMD-EST-0020</t>
        </is>
      </c>
      <c r="B43" s="75" t="inlineStr">
        <is>
          <t>RMV</t>
        </is>
      </c>
      <c r="C43" s="58" t="inlineStr">
        <is>
          <t>RMV</t>
        </is>
      </c>
      <c r="D43" s="58" t="inlineStr">
        <is>
          <t>TRIPE MIC</t>
        </is>
      </c>
      <c r="E43" s="58" t="inlineStr"/>
      <c r="F43" s="58" t="inlineStr"/>
      <c r="G43" s="58" t="inlineStr">
        <is>
          <t>DISPONIVEL</t>
        </is>
      </c>
      <c r="H43" s="58" t="inlineStr">
        <is>
          <t>USADO</t>
        </is>
      </c>
      <c r="I43" s="103" t="inlineStr">
        <is>
          <t>★★★☆☆</t>
        </is>
      </c>
      <c r="J43" s="142" t="n">
        <v>137.9</v>
      </c>
      <c r="K43" s="143" t="n">
        <v>137.9</v>
      </c>
      <c r="L43" s="98">
        <f>IF(J43&gt;0,(J43-K43)/J43,"")</f>
        <v/>
      </c>
      <c r="M43" s="99" t="inlineStr"/>
    </row>
    <row r="44" ht="22" customHeight="1">
      <c r="A44" s="65" t="inlineStr">
        <is>
          <t>MMD-EST-0021</t>
        </is>
      </c>
      <c r="B44" s="79" t="inlineStr">
        <is>
          <t>RMV</t>
        </is>
      </c>
      <c r="C44" s="53" t="inlineStr">
        <is>
          <t>RMV</t>
        </is>
      </c>
      <c r="D44" s="53" t="inlineStr">
        <is>
          <t>TRIPE MIC</t>
        </is>
      </c>
      <c r="E44" s="53" t="inlineStr"/>
      <c r="F44" s="53" t="inlineStr"/>
      <c r="G44" s="53" t="inlineStr">
        <is>
          <t>DISPONIVEL</t>
        </is>
      </c>
      <c r="H44" s="53" t="inlineStr">
        <is>
          <t>USADO</t>
        </is>
      </c>
      <c r="I44" s="103" t="inlineStr">
        <is>
          <t>★★★☆☆</t>
        </is>
      </c>
      <c r="J44" s="141" t="n">
        <v>137.9</v>
      </c>
      <c r="K44" s="143" t="n">
        <v>137.9</v>
      </c>
      <c r="L44" s="101">
        <f>IF(J44&gt;0,(J44-K44)/J44,"")</f>
        <v/>
      </c>
      <c r="M44" s="102" t="inlineStr"/>
    </row>
    <row r="45" ht="22" customHeight="1">
      <c r="A45" s="87" t="inlineStr">
        <is>
          <t>MMD-EST-0022</t>
        </is>
      </c>
      <c r="B45" s="75" t="inlineStr">
        <is>
          <t>RMV</t>
        </is>
      </c>
      <c r="C45" s="58" t="inlineStr">
        <is>
          <t>RMV</t>
        </is>
      </c>
      <c r="D45" s="58" t="inlineStr">
        <is>
          <t>TRIPE MIC</t>
        </is>
      </c>
      <c r="E45" s="58" t="inlineStr"/>
      <c r="F45" s="58" t="inlineStr"/>
      <c r="G45" s="58" t="inlineStr">
        <is>
          <t>DISPONIVEL</t>
        </is>
      </c>
      <c r="H45" s="58" t="inlineStr">
        <is>
          <t>USADO</t>
        </is>
      </c>
      <c r="I45" s="103" t="inlineStr">
        <is>
          <t>★★★☆☆</t>
        </is>
      </c>
      <c r="J45" s="142" t="n">
        <v>137.9</v>
      </c>
      <c r="K45" s="143" t="n">
        <v>137.9</v>
      </c>
      <c r="L45" s="98">
        <f>IF(J45&gt;0,(J45-K45)/J45,"")</f>
        <v/>
      </c>
      <c r="M45" s="99" t="inlineStr"/>
    </row>
    <row r="46" ht="22" customHeight="1">
      <c r="A46" s="65" t="inlineStr">
        <is>
          <t>MMD-EST-0023</t>
        </is>
      </c>
      <c r="B46" s="79" t="inlineStr">
        <is>
          <t>RMV</t>
        </is>
      </c>
      <c r="C46" s="53" t="inlineStr">
        <is>
          <t>RMV</t>
        </is>
      </c>
      <c r="D46" s="53" t="inlineStr">
        <is>
          <t>TRIPE MIC</t>
        </is>
      </c>
      <c r="E46" s="53" t="inlineStr"/>
      <c r="F46" s="53" t="inlineStr"/>
      <c r="G46" s="53" t="inlineStr">
        <is>
          <t>DISPONIVEL</t>
        </is>
      </c>
      <c r="H46" s="53" t="inlineStr">
        <is>
          <t>USADO</t>
        </is>
      </c>
      <c r="I46" s="103" t="inlineStr">
        <is>
          <t>★★★☆☆</t>
        </is>
      </c>
      <c r="J46" s="141" t="n">
        <v>137.9</v>
      </c>
      <c r="K46" s="143" t="n">
        <v>137.9</v>
      </c>
      <c r="L46" s="101">
        <f>IF(J46&gt;0,(J46-K46)/J46,"")</f>
        <v/>
      </c>
      <c r="M46" s="102" t="inlineStr"/>
    </row>
    <row r="47" ht="22" customHeight="1">
      <c r="A47" s="87" t="inlineStr">
        <is>
          <t>MMD-EST-0024</t>
        </is>
      </c>
      <c r="B47" s="75" t="inlineStr">
        <is>
          <t>RMV</t>
        </is>
      </c>
      <c r="C47" s="58" t="inlineStr">
        <is>
          <t>RMV</t>
        </is>
      </c>
      <c r="D47" s="58" t="inlineStr">
        <is>
          <t>TRIPE MIC</t>
        </is>
      </c>
      <c r="E47" s="58" t="inlineStr"/>
      <c r="F47" s="58" t="inlineStr"/>
      <c r="G47" s="58" t="inlineStr">
        <is>
          <t>DISPONIVEL</t>
        </is>
      </c>
      <c r="H47" s="58" t="inlineStr">
        <is>
          <t>USADO</t>
        </is>
      </c>
      <c r="I47" s="103" t="inlineStr">
        <is>
          <t>★★★☆☆</t>
        </is>
      </c>
      <c r="J47" s="142" t="n">
        <v>137.9</v>
      </c>
      <c r="K47" s="143" t="n">
        <v>137.9</v>
      </c>
      <c r="L47" s="98">
        <f>IF(J47&gt;0,(J47-K47)/J47,"")</f>
        <v/>
      </c>
      <c r="M47" s="99" t="inlineStr"/>
    </row>
    <row r="48" ht="22" customHeight="1">
      <c r="A48" s="65" t="inlineStr">
        <is>
          <t>MMD-EST-0025</t>
        </is>
      </c>
      <c r="B48" s="79" t="inlineStr">
        <is>
          <t>RMV</t>
        </is>
      </c>
      <c r="C48" s="53" t="inlineStr">
        <is>
          <t>RMV</t>
        </is>
      </c>
      <c r="D48" s="53" t="inlineStr">
        <is>
          <t>TRIPE MIC</t>
        </is>
      </c>
      <c r="E48" s="53" t="inlineStr"/>
      <c r="F48" s="53" t="inlineStr"/>
      <c r="G48" s="53" t="inlineStr">
        <is>
          <t>DISPONIVEL</t>
        </is>
      </c>
      <c r="H48" s="53" t="inlineStr">
        <is>
          <t>USADO</t>
        </is>
      </c>
      <c r="I48" s="103" t="inlineStr">
        <is>
          <t>★★★☆☆</t>
        </is>
      </c>
      <c r="J48" s="141" t="n">
        <v>137.9</v>
      </c>
      <c r="K48" s="143" t="n">
        <v>137.9</v>
      </c>
      <c r="L48" s="101">
        <f>IF(J48&gt;0,(J48-K48)/J48,"")</f>
        <v/>
      </c>
      <c r="M48" s="102" t="inlineStr"/>
    </row>
    <row r="49" ht="22" customHeight="1">
      <c r="A49" s="87" t="inlineStr">
        <is>
          <t>MMD-EST-0026</t>
        </is>
      </c>
      <c r="B49" s="75" t="inlineStr">
        <is>
          <t>RMV</t>
        </is>
      </c>
      <c r="C49" s="58" t="inlineStr">
        <is>
          <t>RMV</t>
        </is>
      </c>
      <c r="D49" s="58" t="inlineStr">
        <is>
          <t>TRIPE MIC</t>
        </is>
      </c>
      <c r="E49" s="58" t="inlineStr"/>
      <c r="F49" s="58" t="inlineStr"/>
      <c r="G49" s="58" t="inlineStr">
        <is>
          <t>DISPONIVEL</t>
        </is>
      </c>
      <c r="H49" s="58" t="inlineStr">
        <is>
          <t>USADO</t>
        </is>
      </c>
      <c r="I49" s="103" t="inlineStr">
        <is>
          <t>★★★☆☆</t>
        </is>
      </c>
      <c r="J49" s="142" t="n">
        <v>137.9</v>
      </c>
      <c r="K49" s="143" t="n">
        <v>137.9</v>
      </c>
      <c r="L49" s="98">
        <f>IF(J49&gt;0,(J49-K49)/J49,"")</f>
        <v/>
      </c>
      <c r="M49" s="99" t="inlineStr"/>
    </row>
    <row r="50" ht="22" customHeight="1">
      <c r="A50" s="65" t="inlineStr">
        <is>
          <t>MMD-EST-0027</t>
        </is>
      </c>
      <c r="B50" s="79" t="inlineStr">
        <is>
          <t>RMV</t>
        </is>
      </c>
      <c r="C50" s="53" t="inlineStr">
        <is>
          <t>RMV</t>
        </is>
      </c>
      <c r="D50" s="53" t="inlineStr">
        <is>
          <t>TRIPE MIC</t>
        </is>
      </c>
      <c r="E50" s="53" t="inlineStr"/>
      <c r="F50" s="53" t="inlineStr"/>
      <c r="G50" s="53" t="inlineStr">
        <is>
          <t>DISPONIVEL</t>
        </is>
      </c>
      <c r="H50" s="53" t="inlineStr">
        <is>
          <t>USADO</t>
        </is>
      </c>
      <c r="I50" s="103" t="inlineStr">
        <is>
          <t>★★★☆☆</t>
        </is>
      </c>
      <c r="J50" s="141" t="n">
        <v>137.9</v>
      </c>
      <c r="K50" s="143" t="n">
        <v>137.9</v>
      </c>
      <c r="L50" s="101">
        <f>IF(J50&gt;0,(J50-K50)/J50,"")</f>
        <v/>
      </c>
      <c r="M50" s="102" t="inlineStr"/>
    </row>
    <row r="51" ht="22" customHeight="1">
      <c r="A51" s="87" t="inlineStr">
        <is>
          <t>MMD-EST-0028</t>
        </is>
      </c>
      <c r="B51" s="75" t="inlineStr">
        <is>
          <t>RMV</t>
        </is>
      </c>
      <c r="C51" s="58" t="inlineStr">
        <is>
          <t>RMV</t>
        </is>
      </c>
      <c r="D51" s="58" t="inlineStr">
        <is>
          <t>TRIPE MIC</t>
        </is>
      </c>
      <c r="E51" s="58" t="inlineStr"/>
      <c r="F51" s="58" t="inlineStr"/>
      <c r="G51" s="58" t="inlineStr">
        <is>
          <t>DISPONIVEL</t>
        </is>
      </c>
      <c r="H51" s="58" t="inlineStr">
        <is>
          <t>USADO</t>
        </is>
      </c>
      <c r="I51" s="103" t="inlineStr">
        <is>
          <t>★★★☆☆</t>
        </is>
      </c>
      <c r="J51" s="142" t="n">
        <v>137.9</v>
      </c>
      <c r="K51" s="143" t="n">
        <v>137.9</v>
      </c>
      <c r="L51" s="98">
        <f>IF(J51&gt;0,(J51-K51)/J51,"")</f>
        <v/>
      </c>
      <c r="M51" s="99" t="inlineStr"/>
    </row>
    <row r="52" ht="22" customHeight="1">
      <c r="A52" s="65" t="inlineStr">
        <is>
          <t>MMD-EST-0029</t>
        </is>
      </c>
      <c r="B52" s="79" t="inlineStr">
        <is>
          <t>Roxon</t>
        </is>
      </c>
      <c r="C52" s="53" t="inlineStr">
        <is>
          <t>Roxon</t>
        </is>
      </c>
      <c r="D52" s="53" t="inlineStr">
        <is>
          <t>TRIPE MIC</t>
        </is>
      </c>
      <c r="E52" s="53" t="inlineStr"/>
      <c r="F52" s="53" t="inlineStr"/>
      <c r="G52" s="53" t="inlineStr">
        <is>
          <t>DISPONIVEL</t>
        </is>
      </c>
      <c r="H52" s="53" t="inlineStr">
        <is>
          <t>USADO</t>
        </is>
      </c>
      <c r="I52" s="103" t="inlineStr">
        <is>
          <t>★★★☆☆</t>
        </is>
      </c>
      <c r="J52" s="141" t="n">
        <v>137.9</v>
      </c>
      <c r="K52" s="143" t="n">
        <v>137.9</v>
      </c>
      <c r="L52" s="101">
        <f>IF(J52&gt;0,(J52-K52)/J52,"")</f>
        <v/>
      </c>
      <c r="M52" s="102" t="inlineStr"/>
    </row>
    <row r="53" ht="22" customHeight="1">
      <c r="A53" s="87" t="inlineStr">
        <is>
          <t>MMD-EST-0030</t>
        </is>
      </c>
      <c r="B53" s="75" t="inlineStr">
        <is>
          <t>Roxon</t>
        </is>
      </c>
      <c r="C53" s="58" t="inlineStr">
        <is>
          <t>Roxon</t>
        </is>
      </c>
      <c r="D53" s="58" t="inlineStr">
        <is>
          <t>TRIPE MIC</t>
        </is>
      </c>
      <c r="E53" s="58" t="inlineStr"/>
      <c r="F53" s="58" t="inlineStr"/>
      <c r="G53" s="58" t="inlineStr">
        <is>
          <t>DISPONIVEL</t>
        </is>
      </c>
      <c r="H53" s="58" t="inlineStr">
        <is>
          <t>USADO</t>
        </is>
      </c>
      <c r="I53" s="103" t="inlineStr">
        <is>
          <t>★★★☆☆</t>
        </is>
      </c>
      <c r="J53" s="142" t="n">
        <v>137.9</v>
      </c>
      <c r="K53" s="143" t="n">
        <v>137.9</v>
      </c>
      <c r="L53" s="98">
        <f>IF(J53&gt;0,(J53-K53)/J53,"")</f>
        <v/>
      </c>
      <c r="M53" s="99" t="inlineStr"/>
    </row>
    <row r="54"/>
    <row r="55" ht="26" customHeight="1">
      <c r="A55" s="104" t="inlineStr">
        <is>
          <t xml:space="preserve">  TOTAL: 43 itens</t>
        </is>
      </c>
      <c r="B55" s="144" t="n"/>
      <c r="C55" s="144" t="n"/>
      <c r="D55" s="144" t="n"/>
      <c r="E55" s="144" t="n"/>
      <c r="F55" s="145" t="n"/>
      <c r="G55" s="105" t="n"/>
      <c r="H55" s="105" t="n"/>
      <c r="I55" s="105" t="n"/>
      <c r="J55" s="106" t="n">
        <v>57098</v>
      </c>
      <c r="K55" s="105" t="n"/>
      <c r="L55" s="105" t="n"/>
      <c r="M55" s="105" t="n"/>
    </row>
    <row r="56"/>
    <row r="57" ht="18" customHeight="1">
      <c r="A57" s="34" t="inlineStr">
        <is>
          <t>MMD Eventos  |  Inventario Inteligente  |  03/04/2026</t>
        </is>
      </c>
    </row>
  </sheetData>
  <autoFilter ref="A4:M4"/>
  <mergeCells count="10">
    <mergeCell ref="A1:M1"/>
    <mergeCell ref="A5:M5"/>
    <mergeCell ref="A37:M37"/>
    <mergeCell ref="A55:F55"/>
    <mergeCell ref="A22:M22"/>
    <mergeCell ref="A17:M17"/>
    <mergeCell ref="A7:M7"/>
    <mergeCell ref="A57:M57"/>
    <mergeCell ref="A2:M2"/>
    <mergeCell ref="A11:M11"/>
  </mergeCells>
  <conditionalFormatting sqref="G5:G257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57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57">
    <cfRule type="expression" priority="12" dxfId="10">
      <formula>I5="★★★★★"</formula>
    </cfRule>
    <cfRule type="expression" priority="13" dxfId="11">
      <formula>I5="★★★★☆"</formula>
    </cfRule>
    <cfRule type="expression" priority="14" dxfId="12">
      <formula>I5="★★★☆☆"</formula>
    </cfRule>
    <cfRule type="expression" priority="15" dxfId="13">
      <formula>I5="★★☆☆☆"</formula>
    </cfRule>
    <cfRule type="expression" priority="16" dxfId="14">
      <formula>I5="★☆☆☆☆"</formula>
    </cfRule>
  </conditionalFormatting>
  <conditionalFormatting sqref="L5:L257">
    <cfRule type="cellIs" priority="17" operator="lessThan" dxfId="0">
      <formula>0.2</formula>
    </cfRule>
    <cfRule type="cellIs" priority="18" operator="between" dxfId="2">
      <formula>0.2</formula>
      <formula>0.4</formula>
    </cfRule>
    <cfRule type="cellIs" priority="19" operator="between" dxfId="15">
      <formula>0.4</formula>
      <formula>0.6</formula>
    </cfRule>
    <cfRule type="cellIs" priority="20" operator="greaterThanOrEqual" dxfId="16">
      <formula>0.6</formula>
    </cfRule>
  </conditionalFormatting>
  <dataValidations count="3">
    <dataValidation sqref="G5:G257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57" showDropDown="0" showInputMessage="0" showErrorMessage="0" allowBlank="1" type="list">
      <formula1>"NOVO,SEMI_NOVO,USADO,RECONDICIONADO"</formula1>
    </dataValidation>
    <dataValidation sqref="I5:I257" showDropDown="0" showInputMessage="0" showErrorMessage="0" allowBlank="1" type="list">
      <formula1>"★☆☆☆☆,★★☆☆☆,★★★☆☆,★★★★☆,★★★★★"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  <hyperlink xmlns:r="http://schemas.openxmlformats.org/officeDocument/2006/relationships" ref="A32" r:id="rId23"/>
    <hyperlink xmlns:r="http://schemas.openxmlformats.org/officeDocument/2006/relationships" ref="A33" r:id="rId24"/>
    <hyperlink xmlns:r="http://schemas.openxmlformats.org/officeDocument/2006/relationships" ref="A34" r:id="rId25"/>
    <hyperlink xmlns:r="http://schemas.openxmlformats.org/officeDocument/2006/relationships" ref="A35" r:id="rId26"/>
    <hyperlink xmlns:r="http://schemas.openxmlformats.org/officeDocument/2006/relationships" ref="A36" r:id="rId27"/>
    <hyperlink xmlns:r="http://schemas.openxmlformats.org/officeDocument/2006/relationships" ref="A38" r:id="rId28"/>
    <hyperlink xmlns:r="http://schemas.openxmlformats.org/officeDocument/2006/relationships" ref="A39" r:id="rId29"/>
    <hyperlink xmlns:r="http://schemas.openxmlformats.org/officeDocument/2006/relationships" ref="A40" r:id="rId30"/>
    <hyperlink xmlns:r="http://schemas.openxmlformats.org/officeDocument/2006/relationships" ref="A41" r:id="rId31"/>
    <hyperlink xmlns:r="http://schemas.openxmlformats.org/officeDocument/2006/relationships" ref="A42" r:id="rId32"/>
    <hyperlink xmlns:r="http://schemas.openxmlformats.org/officeDocument/2006/relationships" ref="A43" r:id="rId33"/>
    <hyperlink xmlns:r="http://schemas.openxmlformats.org/officeDocument/2006/relationships" ref="A44" r:id="rId34"/>
    <hyperlink xmlns:r="http://schemas.openxmlformats.org/officeDocument/2006/relationships" ref="A45" r:id="rId35"/>
    <hyperlink xmlns:r="http://schemas.openxmlformats.org/officeDocument/2006/relationships" ref="A46" r:id="rId36"/>
    <hyperlink xmlns:r="http://schemas.openxmlformats.org/officeDocument/2006/relationships" ref="A47" r:id="rId37"/>
    <hyperlink xmlns:r="http://schemas.openxmlformats.org/officeDocument/2006/relationships" ref="A48" r:id="rId38"/>
    <hyperlink xmlns:r="http://schemas.openxmlformats.org/officeDocument/2006/relationships" ref="A49" r:id="rId39"/>
    <hyperlink xmlns:r="http://schemas.openxmlformats.org/officeDocument/2006/relationships" ref="A50" r:id="rId40"/>
    <hyperlink xmlns:r="http://schemas.openxmlformats.org/officeDocument/2006/relationships" ref="A51" r:id="rId41"/>
    <hyperlink xmlns:r="http://schemas.openxmlformats.org/officeDocument/2006/relationships" ref="A52" r:id="rId42"/>
    <hyperlink xmlns:r="http://schemas.openxmlformats.org/officeDocument/2006/relationships" ref="A53" r:id="rId43"/>
  </hyperlink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8B5CF6"/>
    <outlinePr summaryBelow="1" summaryRight="1"/>
    <pageSetUpPr/>
  </sheetPr>
  <dimension ref="A1:M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22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0" customWidth="1" min="12" max="12"/>
    <col width="36" customWidth="1" min="13" max="13"/>
  </cols>
  <sheetData>
    <row r="1" ht="38" customHeight="1">
      <c r="A1" s="125" t="inlineStr">
        <is>
          <t>EFEITO  —  Fumaca, Haze, CO2, Fluidos</t>
        </is>
      </c>
    </row>
    <row r="2" ht="22" customHeight="1">
      <c r="A2" s="90" t="inlineStr">
        <is>
          <t>13 itens   |   Valor: R$ 8.441,00   |   Desgaste medio: 2,0/5</t>
        </is>
      </c>
    </row>
    <row r="3" ht="6" customHeight="1"/>
    <row r="4" ht="28" customHeight="1">
      <c r="A4" s="91" t="inlineStr">
        <is>
          <t>Codigo</t>
        </is>
      </c>
      <c r="B4" s="91" t="inlineStr">
        <is>
          <t>Nome</t>
        </is>
      </c>
      <c r="C4" s="91" t="inlineStr">
        <is>
          <t>Marca</t>
        </is>
      </c>
      <c r="D4" s="91" t="inlineStr">
        <is>
          <t>Subcategoria</t>
        </is>
      </c>
      <c r="E4" s="91" t="inlineStr">
        <is>
          <t>Serial Fab.</t>
        </is>
      </c>
      <c r="F4" s="91" t="inlineStr">
        <is>
          <t>Tag RFID</t>
        </is>
      </c>
      <c r="G4" s="91" t="inlineStr">
        <is>
          <t>Status</t>
        </is>
      </c>
      <c r="H4" s="91" t="inlineStr">
        <is>
          <t>Estado</t>
        </is>
      </c>
      <c r="I4" s="91" t="inlineStr">
        <is>
          <t>Desgaste</t>
        </is>
      </c>
      <c r="J4" s="91" t="inlineStr">
        <is>
          <t>Valor Original</t>
        </is>
      </c>
      <c r="K4" s="91" t="inlineStr">
        <is>
          <t>Valor Atual</t>
        </is>
      </c>
      <c r="L4" s="91" t="inlineStr">
        <is>
          <t>Deprec.%</t>
        </is>
      </c>
      <c r="M4" s="91" t="inlineStr">
        <is>
          <t>Notas</t>
        </is>
      </c>
    </row>
    <row r="5" ht="24" customHeight="1">
      <c r="A5" s="126" t="inlineStr">
        <is>
          <t xml:space="preserve">  BICO CO2  (2)</t>
        </is>
      </c>
    </row>
    <row r="6" ht="22" customHeight="1">
      <c r="A6" s="66" t="inlineStr">
        <is>
          <t>MMD-EFE-0001</t>
        </is>
      </c>
      <c r="B6" s="75" t="inlineStr">
        <is>
          <t>S/ MODELO</t>
        </is>
      </c>
      <c r="C6" s="58" t="inlineStr"/>
      <c r="D6" s="58" t="inlineStr">
        <is>
          <t>BICO CO2</t>
        </is>
      </c>
      <c r="E6" s="58" t="inlineStr"/>
      <c r="F6" s="58" t="inlineStr"/>
      <c r="G6" s="58" t="inlineStr">
        <is>
          <t>DISPONIVEL</t>
        </is>
      </c>
      <c r="H6" s="58" t="inlineStr">
        <is>
          <t>USADO</t>
        </is>
      </c>
      <c r="I6" s="95" t="inlineStr">
        <is>
          <t>★★☆☆☆</t>
        </is>
      </c>
      <c r="J6" s="142" t="n">
        <v>565</v>
      </c>
      <c r="K6" s="143" t="n">
        <v>528.85</v>
      </c>
      <c r="L6" s="98">
        <f>IF(J6&gt;0,(J6-K6)/J6,"")</f>
        <v/>
      </c>
      <c r="M6" s="99" t="inlineStr"/>
    </row>
    <row r="7" ht="22" customHeight="1">
      <c r="A7" s="128" t="inlineStr">
        <is>
          <t>MMD-EFE-0002</t>
        </is>
      </c>
      <c r="B7" s="79" t="inlineStr">
        <is>
          <t>S/ MODELO</t>
        </is>
      </c>
      <c r="C7" s="53" t="inlineStr"/>
      <c r="D7" s="53" t="inlineStr">
        <is>
          <t>BICO CO2</t>
        </is>
      </c>
      <c r="E7" s="53" t="inlineStr"/>
      <c r="F7" s="53" t="inlineStr"/>
      <c r="G7" s="53" t="inlineStr">
        <is>
          <t>DISPONIVEL</t>
        </is>
      </c>
      <c r="H7" s="53" t="inlineStr">
        <is>
          <t>USADO</t>
        </is>
      </c>
      <c r="I7" s="95" t="inlineStr">
        <is>
          <t>★★☆☆☆</t>
        </is>
      </c>
      <c r="J7" s="141" t="n">
        <v>565</v>
      </c>
      <c r="K7" s="143" t="n">
        <v>528.85</v>
      </c>
      <c r="L7" s="101">
        <f>IF(J7&gt;0,(J7-K7)/J7,"")</f>
        <v/>
      </c>
      <c r="M7" s="102" t="inlineStr"/>
    </row>
    <row r="8" ht="24" customHeight="1">
      <c r="A8" s="126" t="inlineStr">
        <is>
          <t xml:space="preserve">  CILINDRO  (1)</t>
        </is>
      </c>
    </row>
    <row r="9" ht="22" customHeight="1">
      <c r="A9" s="66" t="inlineStr">
        <is>
          <t>MMD-EFE-0003</t>
        </is>
      </c>
      <c r="B9" s="75" t="inlineStr">
        <is>
          <t>CILINDRO DE CO2</t>
        </is>
      </c>
      <c r="C9" s="58" t="inlineStr"/>
      <c r="D9" s="58" t="inlineStr">
        <is>
          <t>CILINDRO</t>
        </is>
      </c>
      <c r="E9" s="58" t="inlineStr"/>
      <c r="F9" s="58" t="inlineStr"/>
      <c r="G9" s="58" t="inlineStr">
        <is>
          <t>DISPONIVEL</t>
        </is>
      </c>
      <c r="H9" s="58" t="inlineStr">
        <is>
          <t>USADO</t>
        </is>
      </c>
      <c r="I9" s="95" t="inlineStr">
        <is>
          <t>★★☆☆☆</t>
        </is>
      </c>
      <c r="J9" s="142" t="n">
        <v>565</v>
      </c>
      <c r="K9" s="143" t="n">
        <v>528.85</v>
      </c>
      <c r="L9" s="98">
        <f>IF(J9&gt;0,(J9-K9)/J9,"")</f>
        <v/>
      </c>
      <c r="M9" s="99" t="inlineStr"/>
    </row>
    <row r="10" ht="24" customHeight="1">
      <c r="A10" s="126" t="inlineStr">
        <is>
          <t xml:space="preserve">  HAZE  (2)</t>
        </is>
      </c>
    </row>
    <row r="11" ht="22" customHeight="1">
      <c r="A11" s="128" t="inlineStr">
        <is>
          <t>MMD-EFE-0004</t>
        </is>
      </c>
      <c r="B11" s="79" t="inlineStr">
        <is>
          <t>haze agua fog smoke fluid</t>
        </is>
      </c>
      <c r="C11" s="53" t="inlineStr">
        <is>
          <t>JM Lighting</t>
        </is>
      </c>
      <c r="D11" s="53" t="inlineStr">
        <is>
          <t>HAZE</t>
        </is>
      </c>
      <c r="E11" s="53" t="inlineStr"/>
      <c r="F11" s="53" t="inlineStr"/>
      <c r="G11" s="53" t="inlineStr">
        <is>
          <t>DISPONIVEL</t>
        </is>
      </c>
      <c r="H11" s="53" t="inlineStr">
        <is>
          <t>USADO</t>
        </is>
      </c>
      <c r="I11" s="95" t="inlineStr">
        <is>
          <t>★★☆☆☆</t>
        </is>
      </c>
      <c r="J11" s="141" t="n">
        <v>565</v>
      </c>
      <c r="K11" s="143" t="n">
        <v>15.6</v>
      </c>
      <c r="L11" s="101">
        <f>IF(J11&gt;0,(J11-K11)/J11,"")</f>
        <v/>
      </c>
      <c r="M11" s="102" t="inlineStr"/>
    </row>
    <row r="12" ht="22" customHeight="1">
      <c r="A12" s="66" t="inlineStr">
        <is>
          <t>MMD-EFE-0005</t>
        </is>
      </c>
      <c r="B12" s="75" t="inlineStr">
        <is>
          <t>haze</t>
        </is>
      </c>
      <c r="C12" s="58" t="inlineStr">
        <is>
          <t>USA Liquids</t>
        </is>
      </c>
      <c r="D12" s="58" t="inlineStr">
        <is>
          <t>HAZE</t>
        </is>
      </c>
      <c r="E12" s="58" t="inlineStr"/>
      <c r="F12" s="58" t="inlineStr"/>
      <c r="G12" s="58" t="inlineStr">
        <is>
          <t>DISPONIVEL</t>
        </is>
      </c>
      <c r="H12" s="58" t="inlineStr">
        <is>
          <t>USADO</t>
        </is>
      </c>
      <c r="I12" s="95" t="inlineStr">
        <is>
          <t>★★☆☆☆</t>
        </is>
      </c>
      <c r="J12" s="142" t="n">
        <v>565</v>
      </c>
      <c r="K12" s="143" t="n">
        <v>17</v>
      </c>
      <c r="L12" s="98">
        <f>IF(J12&gt;0,(J12-K12)/J12,"")</f>
        <v/>
      </c>
      <c r="M12" s="99" t="inlineStr"/>
    </row>
    <row r="13" ht="24" customHeight="1">
      <c r="A13" s="126" t="inlineStr">
        <is>
          <t xml:space="preserve">  MAQ FUMACA  (8)</t>
        </is>
      </c>
    </row>
    <row r="14" ht="22" customHeight="1">
      <c r="A14" s="128" t="inlineStr">
        <is>
          <t>MMD-EFE-0006</t>
        </is>
      </c>
      <c r="B14" s="79" t="inlineStr">
        <is>
          <t>LED LUMINÁRIA MODELO RO-66 2000W</t>
        </is>
      </c>
      <c r="C14" s="53" t="inlineStr">
        <is>
          <t>Athlanta</t>
        </is>
      </c>
      <c r="D14" s="53" t="inlineStr">
        <is>
          <t>MAQ FUMACA</t>
        </is>
      </c>
      <c r="E14" s="53" t="inlineStr">
        <is>
          <t>72568</t>
        </is>
      </c>
      <c r="F14" s="53" t="inlineStr"/>
      <c r="G14" s="53" t="inlineStr">
        <is>
          <t>DISPONIVEL</t>
        </is>
      </c>
      <c r="H14" s="53" t="inlineStr">
        <is>
          <t>USADO</t>
        </is>
      </c>
      <c r="I14" s="95" t="inlineStr">
        <is>
          <t>★★☆☆☆</t>
        </is>
      </c>
      <c r="J14" s="141" t="n">
        <v>1420</v>
      </c>
      <c r="K14" s="143" t="n">
        <v>1420</v>
      </c>
      <c r="L14" s="101">
        <f>IF(J14&gt;0,(J14-K14)/J14,"")</f>
        <v/>
      </c>
      <c r="M14" s="102" t="inlineStr"/>
    </row>
    <row r="15" ht="22" customHeight="1">
      <c r="A15" s="66" t="inlineStr">
        <is>
          <t>MMD-EFE-0007</t>
        </is>
      </c>
      <c r="B15" s="75" t="inlineStr">
        <is>
          <t>SKYPIX SK-FM900</t>
        </is>
      </c>
      <c r="C15" s="58" t="inlineStr"/>
      <c r="D15" s="58" t="inlineStr">
        <is>
          <t>MAQ FUMACA</t>
        </is>
      </c>
      <c r="E15" s="58" t="inlineStr"/>
      <c r="F15" s="58" t="inlineStr"/>
      <c r="G15" s="58" t="inlineStr">
        <is>
          <t>DISPONIVEL</t>
        </is>
      </c>
      <c r="H15" s="58" t="inlineStr">
        <is>
          <t>USADO</t>
        </is>
      </c>
      <c r="I15" s="95" t="inlineStr">
        <is>
          <t>★★☆☆☆</t>
        </is>
      </c>
      <c r="J15" s="142" t="n">
        <v>565</v>
      </c>
      <c r="K15" s="143" t="n">
        <v>565</v>
      </c>
      <c r="L15" s="98">
        <f>IF(J15&gt;0,(J15-K15)/J15,"")</f>
        <v/>
      </c>
      <c r="M15" s="99" t="inlineStr"/>
    </row>
    <row r="16" ht="22" customHeight="1">
      <c r="A16" s="128" t="inlineStr">
        <is>
          <t>MMD-EFE-0008</t>
        </is>
      </c>
      <c r="B16" s="79" t="inlineStr">
        <is>
          <t>SPL1500W</t>
        </is>
      </c>
      <c r="C16" s="53" t="inlineStr">
        <is>
          <t>Haze Machine</t>
        </is>
      </c>
      <c r="D16" s="53" t="inlineStr">
        <is>
          <t>MAQ FUMACA</t>
        </is>
      </c>
      <c r="E16" s="53" t="inlineStr"/>
      <c r="F16" s="53" t="inlineStr"/>
      <c r="G16" s="53" t="inlineStr">
        <is>
          <t>DISPONIVEL</t>
        </is>
      </c>
      <c r="H16" s="53" t="inlineStr">
        <is>
          <t>USADO</t>
        </is>
      </c>
      <c r="I16" s="95" t="inlineStr">
        <is>
          <t>★★☆☆☆</t>
        </is>
      </c>
      <c r="J16" s="141" t="n">
        <v>565</v>
      </c>
      <c r="K16" s="143" t="n">
        <v>990</v>
      </c>
      <c r="L16" s="101">
        <f>IF(J16&gt;0,(J16-K16)/J16,"")</f>
        <v/>
      </c>
      <c r="M16" s="102" t="inlineStr"/>
    </row>
    <row r="17" ht="22" customHeight="1">
      <c r="A17" s="66" t="inlineStr">
        <is>
          <t>MMD-EFE-0009</t>
        </is>
      </c>
      <c r="B17" s="75" t="inlineStr">
        <is>
          <t>SPL1500W</t>
        </is>
      </c>
      <c r="C17" s="58" t="inlineStr">
        <is>
          <t>Haze Machine</t>
        </is>
      </c>
      <c r="D17" s="58" t="inlineStr">
        <is>
          <t>MAQ FUMACA</t>
        </is>
      </c>
      <c r="E17" s="58" t="inlineStr"/>
      <c r="F17" s="58" t="inlineStr"/>
      <c r="G17" s="58" t="inlineStr">
        <is>
          <t>DISPONIVEL</t>
        </is>
      </c>
      <c r="H17" s="58" t="inlineStr">
        <is>
          <t>USADO</t>
        </is>
      </c>
      <c r="I17" s="95" t="inlineStr">
        <is>
          <t>★★☆☆☆</t>
        </is>
      </c>
      <c r="J17" s="142" t="n">
        <v>565</v>
      </c>
      <c r="K17" s="143" t="n">
        <v>990</v>
      </c>
      <c r="L17" s="98">
        <f>IF(J17&gt;0,(J17-K17)/J17,"")</f>
        <v/>
      </c>
      <c r="M17" s="99" t="inlineStr"/>
    </row>
    <row r="18" ht="22" customHeight="1">
      <c r="A18" s="128" t="inlineStr">
        <is>
          <t>MMD-EFE-0010</t>
        </is>
      </c>
      <c r="B18" s="79" t="inlineStr">
        <is>
          <t>YJ-600W-110V</t>
        </is>
      </c>
      <c r="C18" s="53" t="inlineStr">
        <is>
          <t>Zmlama</t>
        </is>
      </c>
      <c r="D18" s="53" t="inlineStr">
        <is>
          <t>MAQ FUMACA</t>
        </is>
      </c>
      <c r="E18" s="53" t="inlineStr"/>
      <c r="F18" s="53" t="inlineStr"/>
      <c r="G18" s="53" t="inlineStr">
        <is>
          <t>DISPONIVEL</t>
        </is>
      </c>
      <c r="H18" s="53" t="inlineStr">
        <is>
          <t>USADO</t>
        </is>
      </c>
      <c r="I18" s="95" t="inlineStr">
        <is>
          <t>★★☆☆☆</t>
        </is>
      </c>
      <c r="J18" s="141" t="n">
        <v>226</v>
      </c>
      <c r="K18" s="143" t="n">
        <v>375</v>
      </c>
      <c r="L18" s="101">
        <f>IF(J18&gt;0,(J18-K18)/J18,"")</f>
        <v/>
      </c>
      <c r="M18" s="102" t="inlineStr"/>
    </row>
    <row r="19" ht="22" customHeight="1">
      <c r="A19" s="66" t="inlineStr">
        <is>
          <t>MMD-EFE-0011</t>
        </is>
      </c>
      <c r="B19" s="75" t="inlineStr">
        <is>
          <t>LED LUMINÁRIA MODELO RO-66 2000W</t>
        </is>
      </c>
      <c r="C19" s="58" t="inlineStr">
        <is>
          <t>Athlanta</t>
        </is>
      </c>
      <c r="D19" s="58" t="inlineStr">
        <is>
          <t>MAQ FUMACA</t>
        </is>
      </c>
      <c r="E19" s="58" t="inlineStr">
        <is>
          <t>72569</t>
        </is>
      </c>
      <c r="F19" s="58" t="inlineStr"/>
      <c r="G19" s="58" t="inlineStr">
        <is>
          <t>DISPONIVEL</t>
        </is>
      </c>
      <c r="H19" s="58" t="inlineStr">
        <is>
          <t>USADO</t>
        </is>
      </c>
      <c r="I19" s="95" t="inlineStr">
        <is>
          <t>★★☆☆☆</t>
        </is>
      </c>
      <c r="J19" s="142" t="n">
        <v>1420</v>
      </c>
      <c r="K19" s="143" t="n">
        <v>1420</v>
      </c>
      <c r="L19" s="98">
        <f>IF(J19&gt;0,(J19-K19)/J19,"")</f>
        <v/>
      </c>
      <c r="M19" s="99" t="inlineStr"/>
    </row>
    <row r="20" ht="22" customHeight="1">
      <c r="A20" s="128" t="inlineStr">
        <is>
          <t>MMD-EFE-0012</t>
        </is>
      </c>
      <c r="B20" s="79" t="inlineStr">
        <is>
          <t>LK-Y4-600W</t>
        </is>
      </c>
      <c r="C20" s="53" t="inlineStr">
        <is>
          <t>Luatek</t>
        </is>
      </c>
      <c r="D20" s="53" t="inlineStr">
        <is>
          <t>MAQ FUMACA</t>
        </is>
      </c>
      <c r="E20" s="53" t="inlineStr"/>
      <c r="F20" s="53" t="inlineStr"/>
      <c r="G20" s="53" t="inlineStr">
        <is>
          <t>DISPONIVEL</t>
        </is>
      </c>
      <c r="H20" s="53" t="inlineStr">
        <is>
          <t>USADO</t>
        </is>
      </c>
      <c r="I20" s="95" t="inlineStr">
        <is>
          <t>★★☆☆☆</t>
        </is>
      </c>
      <c r="J20" s="141" t="n">
        <v>260</v>
      </c>
      <c r="K20" s="143" t="n">
        <v>375</v>
      </c>
      <c r="L20" s="101">
        <f>IF(J20&gt;0,(J20-K20)/J20,"")</f>
        <v/>
      </c>
      <c r="M20" s="102" t="inlineStr"/>
    </row>
    <row r="21" ht="22" customHeight="1">
      <c r="A21" s="66" t="inlineStr">
        <is>
          <t>MMD-EFE-0013</t>
        </is>
      </c>
      <c r="B21" s="75" t="inlineStr">
        <is>
          <t>F-950</t>
        </is>
      </c>
      <c r="C21" s="58" t="inlineStr">
        <is>
          <t>TEC Port</t>
        </is>
      </c>
      <c r="D21" s="58" t="inlineStr">
        <is>
          <t>MAQ FUMACA</t>
        </is>
      </c>
      <c r="E21" s="58" t="inlineStr">
        <is>
          <t>1802094057</t>
        </is>
      </c>
      <c r="F21" s="58" t="inlineStr"/>
      <c r="G21" s="58" t="inlineStr">
        <is>
          <t>DISPONIVEL</t>
        </is>
      </c>
      <c r="H21" s="58" t="inlineStr">
        <is>
          <t>USADO</t>
        </is>
      </c>
      <c r="I21" s="95" t="inlineStr">
        <is>
          <t>★★☆☆☆</t>
        </is>
      </c>
      <c r="J21" s="142" t="n">
        <v>595</v>
      </c>
      <c r="K21" s="143" t="n">
        <v>595</v>
      </c>
      <c r="L21" s="98">
        <f>IF(J21&gt;0,(J21-K21)/J21,"")</f>
        <v/>
      </c>
      <c r="M21" s="99" t="inlineStr"/>
    </row>
    <row r="22"/>
    <row r="23" ht="26" customHeight="1">
      <c r="A23" s="104" t="inlineStr">
        <is>
          <t xml:space="preserve">  TOTAL: 13 itens</t>
        </is>
      </c>
      <c r="B23" s="144" t="n"/>
      <c r="C23" s="144" t="n"/>
      <c r="D23" s="144" t="n"/>
      <c r="E23" s="144" t="n"/>
      <c r="F23" s="145" t="n"/>
      <c r="G23" s="105" t="n"/>
      <c r="H23" s="105" t="n"/>
      <c r="I23" s="105" t="n"/>
      <c r="J23" s="106" t="n">
        <v>8441</v>
      </c>
      <c r="K23" s="105" t="n"/>
      <c r="L23" s="105" t="n"/>
      <c r="M23" s="105" t="n"/>
    </row>
    <row r="24"/>
    <row r="25" ht="18" customHeight="1">
      <c r="A25" s="34" t="inlineStr">
        <is>
          <t>MMD Eventos  |  Inventario Inteligente  |  03/04/2026</t>
        </is>
      </c>
    </row>
  </sheetData>
  <autoFilter ref="A4:M4"/>
  <mergeCells count="8">
    <mergeCell ref="A13:M13"/>
    <mergeCell ref="A1:M1"/>
    <mergeCell ref="A5:M5"/>
    <mergeCell ref="A8:M8"/>
    <mergeCell ref="A23:F23"/>
    <mergeCell ref="A25:M25"/>
    <mergeCell ref="A2:M2"/>
    <mergeCell ref="A10:M10"/>
  </mergeCells>
  <conditionalFormatting sqref="G5:G225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25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25">
    <cfRule type="expression" priority="12" dxfId="10">
      <formula>I5="★★★★★"</formula>
    </cfRule>
    <cfRule type="expression" priority="13" dxfId="11">
      <formula>I5="★★★★☆"</formula>
    </cfRule>
    <cfRule type="expression" priority="14" dxfId="12">
      <formula>I5="★★★☆☆"</formula>
    </cfRule>
    <cfRule type="expression" priority="15" dxfId="13">
      <formula>I5="★★☆☆☆"</formula>
    </cfRule>
    <cfRule type="expression" priority="16" dxfId="14">
      <formula>I5="★☆☆☆☆"</formula>
    </cfRule>
  </conditionalFormatting>
  <conditionalFormatting sqref="L5:L225">
    <cfRule type="cellIs" priority="17" operator="lessThan" dxfId="0">
      <formula>0.2</formula>
    </cfRule>
    <cfRule type="cellIs" priority="18" operator="between" dxfId="2">
      <formula>0.2</formula>
      <formula>0.4</formula>
    </cfRule>
    <cfRule type="cellIs" priority="19" operator="between" dxfId="15">
      <formula>0.4</formula>
      <formula>0.6</formula>
    </cfRule>
    <cfRule type="cellIs" priority="20" operator="greaterThanOrEqual" dxfId="16">
      <formula>0.6</formula>
    </cfRule>
  </conditionalFormatting>
  <dataValidations count="3">
    <dataValidation sqref="G5:G225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25" showDropDown="0" showInputMessage="0" showErrorMessage="0" allowBlank="1" type="list">
      <formula1>"NOVO,SEMI_NOVO,USADO,RECONDICIONADO"</formula1>
    </dataValidation>
    <dataValidation sqref="I5:I225" showDropDown="0" showInputMessage="0" showErrorMessage="0" allowBlank="1" type="list">
      <formula1>"★☆☆☆☆,★★☆☆☆,★★★☆☆,★★★★☆,★★★★★"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9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</hyperlink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14B8A6"/>
    <outlinePr summaryBelow="1" summaryRight="1"/>
    <pageSetUpPr/>
  </sheetPr>
  <dimension ref="A1:M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22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0" customWidth="1" min="12" max="12"/>
    <col width="36" customWidth="1" min="13" max="13"/>
  </cols>
  <sheetData>
    <row r="1" ht="38" customHeight="1">
      <c r="A1" s="129" t="inlineStr">
        <is>
          <t>VIDEO  —  Projetores, Notebooks, Tablets</t>
        </is>
      </c>
    </row>
    <row r="2" ht="22" customHeight="1">
      <c r="A2" s="90" t="inlineStr">
        <is>
          <t>9 itens   |   Valor: R$ 13.022,82   |   Desgaste medio: 3,0/5</t>
        </is>
      </c>
    </row>
    <row r="3" ht="6" customHeight="1"/>
    <row r="4" ht="28" customHeight="1">
      <c r="A4" s="91" t="inlineStr">
        <is>
          <t>Codigo</t>
        </is>
      </c>
      <c r="B4" s="91" t="inlineStr">
        <is>
          <t>Nome</t>
        </is>
      </c>
      <c r="C4" s="91" t="inlineStr">
        <is>
          <t>Marca</t>
        </is>
      </c>
      <c r="D4" s="91" t="inlineStr">
        <is>
          <t>Subcategoria</t>
        </is>
      </c>
      <c r="E4" s="91" t="inlineStr">
        <is>
          <t>Serial Fab.</t>
        </is>
      </c>
      <c r="F4" s="91" t="inlineStr">
        <is>
          <t>Tag RFID</t>
        </is>
      </c>
      <c r="G4" s="91" t="inlineStr">
        <is>
          <t>Status</t>
        </is>
      </c>
      <c r="H4" s="91" t="inlineStr">
        <is>
          <t>Estado</t>
        </is>
      </c>
      <c r="I4" s="91" t="inlineStr">
        <is>
          <t>Desgaste</t>
        </is>
      </c>
      <c r="J4" s="91" t="inlineStr">
        <is>
          <t>Valor Original</t>
        </is>
      </c>
      <c r="K4" s="91" t="inlineStr">
        <is>
          <t>Valor Atual</t>
        </is>
      </c>
      <c r="L4" s="91" t="inlineStr">
        <is>
          <t>Deprec.%</t>
        </is>
      </c>
      <c r="M4" s="91" t="inlineStr">
        <is>
          <t>Notas</t>
        </is>
      </c>
    </row>
    <row r="5" ht="24" customHeight="1">
      <c r="A5" s="130" t="inlineStr">
        <is>
          <t xml:space="preserve">  COMPUTADOR  (1)</t>
        </is>
      </c>
    </row>
    <row r="6" ht="22" customHeight="1">
      <c r="A6" s="132" t="inlineStr">
        <is>
          <t>MMD-VID-0001</t>
        </is>
      </c>
      <c r="B6" s="75" t="inlineStr">
        <is>
          <t>COMPUTADOR HP PAVILLON TS 23 AIO PC BR</t>
        </is>
      </c>
      <c r="C6" s="58" t="inlineStr">
        <is>
          <t>HP</t>
        </is>
      </c>
      <c r="D6" s="58" t="inlineStr">
        <is>
          <t>COMPUTADOR</t>
        </is>
      </c>
      <c r="E6" s="58" t="inlineStr">
        <is>
          <t>BRG3430081</t>
        </is>
      </c>
      <c r="F6" s="58" t="inlineStr"/>
      <c r="G6" s="58" t="inlineStr">
        <is>
          <t>DISPONIVEL</t>
        </is>
      </c>
      <c r="H6" s="58" t="inlineStr">
        <is>
          <t>USADO</t>
        </is>
      </c>
      <c r="I6" s="103" t="inlineStr">
        <is>
          <t>★★★☆☆</t>
        </is>
      </c>
      <c r="J6" s="142" t="n">
        <v>943.4</v>
      </c>
      <c r="K6" s="143" t="n">
        <v>1999</v>
      </c>
      <c r="L6" s="98">
        <f>IF(J6&gt;0,(J6-K6)/J6,"")</f>
        <v/>
      </c>
      <c r="M6" s="99" t="inlineStr"/>
    </row>
    <row r="7" ht="24" customHeight="1">
      <c r="A7" s="130" t="inlineStr">
        <is>
          <t xml:space="preserve">  NOTEBOOK  (3)</t>
        </is>
      </c>
    </row>
    <row r="8" ht="22" customHeight="1">
      <c r="A8" s="67" t="inlineStr">
        <is>
          <t>MMD-VID-0002</t>
        </is>
      </c>
      <c r="B8" s="79" t="inlineStr">
        <is>
          <t>X512FB</t>
        </is>
      </c>
      <c r="C8" s="53" t="inlineStr">
        <is>
          <t>Asus</t>
        </is>
      </c>
      <c r="D8" s="53" t="inlineStr">
        <is>
          <t>NOTEBOOK</t>
        </is>
      </c>
      <c r="E8" s="53" t="inlineStr">
        <is>
          <t>L9N0B6011624383</t>
        </is>
      </c>
      <c r="F8" s="53" t="inlineStr"/>
      <c r="G8" s="53" t="inlineStr">
        <is>
          <t>DISPONIVEL</t>
        </is>
      </c>
      <c r="H8" s="53" t="inlineStr">
        <is>
          <t>USADO</t>
        </is>
      </c>
      <c r="I8" s="103" t="inlineStr">
        <is>
          <t>★★★☆☆</t>
        </is>
      </c>
      <c r="J8" s="141" t="n">
        <v>2484.68</v>
      </c>
      <c r="K8" s="143" t="n">
        <v>2026</v>
      </c>
      <c r="L8" s="101">
        <f>IF(J8&gt;0,(J8-K8)/J8,"")</f>
        <v/>
      </c>
      <c r="M8" s="102" t="inlineStr"/>
    </row>
    <row r="9" ht="22" customHeight="1">
      <c r="A9" s="132" t="inlineStr">
        <is>
          <t>MMD-VID-0003</t>
        </is>
      </c>
      <c r="B9" s="75" t="inlineStr">
        <is>
          <t>MACBOOK PRO A1398</t>
        </is>
      </c>
      <c r="C9" s="58" t="inlineStr">
        <is>
          <t>Apple</t>
        </is>
      </c>
      <c r="D9" s="58" t="inlineStr">
        <is>
          <t>NOTEBOOK</t>
        </is>
      </c>
      <c r="E9" s="58" t="inlineStr">
        <is>
          <t>C02MQ4FGFD56</t>
        </is>
      </c>
      <c r="F9" s="58" t="inlineStr"/>
      <c r="G9" s="58" t="inlineStr">
        <is>
          <t>DISPONIVEL</t>
        </is>
      </c>
      <c r="H9" s="58" t="inlineStr">
        <is>
          <t>USADO</t>
        </is>
      </c>
      <c r="I9" s="103" t="inlineStr">
        <is>
          <t>★★★☆☆</t>
        </is>
      </c>
      <c r="J9" s="142" t="n">
        <v>1250</v>
      </c>
      <c r="K9" s="143" t="n">
        <v>1999</v>
      </c>
      <c r="L9" s="98">
        <f>IF(J9&gt;0,(J9-K9)/J9,"")</f>
        <v/>
      </c>
      <c r="M9" s="99" t="inlineStr"/>
    </row>
    <row r="10" ht="22" customHeight="1">
      <c r="A10" s="67" t="inlineStr">
        <is>
          <t>MMD-VID-0008</t>
        </is>
      </c>
      <c r="B10" s="79" t="inlineStr">
        <is>
          <t>Book 550XDA</t>
        </is>
      </c>
      <c r="C10" s="53" t="inlineStr">
        <is>
          <t>Samsung</t>
        </is>
      </c>
      <c r="D10" s="53" t="inlineStr">
        <is>
          <t>NOTEBOOK</t>
        </is>
      </c>
      <c r="E10" s="53" t="inlineStr"/>
      <c r="F10" s="53" t="inlineStr"/>
      <c r="G10" s="53" t="inlineStr">
        <is>
          <t>DISPONIVEL</t>
        </is>
      </c>
      <c r="H10" s="53" t="inlineStr">
        <is>
          <t>USADO</t>
        </is>
      </c>
      <c r="I10" s="103" t="inlineStr">
        <is>
          <t>★★★☆☆</t>
        </is>
      </c>
      <c r="J10" s="141" t="n">
        <v>3719.35</v>
      </c>
      <c r="K10" s="143" t="n">
        <v>2053</v>
      </c>
      <c r="L10" s="101">
        <f>IF(J10&gt;0,(J10-K10)/J10,"")</f>
        <v/>
      </c>
      <c r="M10" s="102" t="inlineStr"/>
    </row>
    <row r="11" ht="24" customHeight="1">
      <c r="A11" s="130" t="inlineStr">
        <is>
          <t xml:space="preserve">  PROJETOR  (2)</t>
        </is>
      </c>
    </row>
    <row r="12" ht="22" customHeight="1">
      <c r="A12" s="132" t="inlineStr">
        <is>
          <t>MMD-VID-0004</t>
        </is>
      </c>
      <c r="B12" s="75" t="inlineStr">
        <is>
          <t>MP515 DIGITAL PROJECTOR</t>
        </is>
      </c>
      <c r="C12" s="58" t="inlineStr">
        <is>
          <t>Benq</t>
        </is>
      </c>
      <c r="D12" s="58" t="inlineStr">
        <is>
          <t>PROJETOR</t>
        </is>
      </c>
      <c r="E12" s="58" t="inlineStr">
        <is>
          <t>PD23A01110000</t>
        </is>
      </c>
      <c r="F12" s="58" t="inlineStr"/>
      <c r="G12" s="58" t="inlineStr">
        <is>
          <t>DISPONIVEL</t>
        </is>
      </c>
      <c r="H12" s="58" t="inlineStr">
        <is>
          <t>USADO</t>
        </is>
      </c>
      <c r="I12" s="103" t="inlineStr">
        <is>
          <t>★★★☆☆</t>
        </is>
      </c>
      <c r="J12" s="142" t="n">
        <v>370</v>
      </c>
      <c r="K12" s="143" t="n">
        <v>382.49</v>
      </c>
      <c r="L12" s="98">
        <f>IF(J12&gt;0,(J12-K12)/J12,"")</f>
        <v/>
      </c>
      <c r="M12" s="99" t="inlineStr"/>
    </row>
    <row r="13" ht="22" customHeight="1">
      <c r="A13" s="67" t="inlineStr">
        <is>
          <t>MMD-VID-0005</t>
        </is>
      </c>
      <c r="B13" s="79" t="inlineStr">
        <is>
          <t>V260R MODEL N. NP-V260RB</t>
        </is>
      </c>
      <c r="C13" s="53" t="inlineStr">
        <is>
          <t>NEC</t>
        </is>
      </c>
      <c r="D13" s="53" t="inlineStr">
        <is>
          <t>PROJETOR</t>
        </is>
      </c>
      <c r="E13" s="53" t="inlineStr">
        <is>
          <t>23F0729EC</t>
        </is>
      </c>
      <c r="F13" s="53" t="inlineStr"/>
      <c r="G13" s="53" t="inlineStr">
        <is>
          <t>DISPONIVEL</t>
        </is>
      </c>
      <c r="H13" s="53" t="inlineStr">
        <is>
          <t>USADO</t>
        </is>
      </c>
      <c r="I13" s="103" t="inlineStr">
        <is>
          <t>★★★☆☆</t>
        </is>
      </c>
      <c r="J13" s="141" t="n">
        <v>400</v>
      </c>
      <c r="K13" s="143" t="n">
        <v>2243</v>
      </c>
      <c r="L13" s="101">
        <f>IF(J13&gt;0,(J13-K13)/J13,"")</f>
        <v/>
      </c>
      <c r="M13" s="102" t="inlineStr"/>
    </row>
    <row r="14" ht="24" customHeight="1">
      <c r="A14" s="130" t="inlineStr">
        <is>
          <t xml:space="preserve">  SENDBOX  (1)</t>
        </is>
      </c>
    </row>
    <row r="15" ht="22" customHeight="1">
      <c r="A15" s="132" t="inlineStr">
        <is>
          <t>MMD-VID-0006</t>
        </is>
      </c>
      <c r="B15" s="75" t="inlineStr">
        <is>
          <t>Sendcard</t>
        </is>
      </c>
      <c r="C15" s="58" t="inlineStr">
        <is>
          <t>Linsn</t>
        </is>
      </c>
      <c r="D15" s="58" t="inlineStr">
        <is>
          <t>SENDBOX</t>
        </is>
      </c>
      <c r="E15" s="58" t="inlineStr"/>
      <c r="F15" s="58" t="inlineStr"/>
      <c r="G15" s="58" t="inlineStr">
        <is>
          <t>DISPONIVEL</t>
        </is>
      </c>
      <c r="H15" s="58" t="inlineStr">
        <is>
          <t>USADO</t>
        </is>
      </c>
      <c r="I15" s="103" t="inlineStr">
        <is>
          <t>★★★☆☆</t>
        </is>
      </c>
      <c r="J15" s="142" t="n">
        <v>943.4</v>
      </c>
      <c r="K15" s="143" t="n">
        <v>943.4</v>
      </c>
      <c r="L15" s="98">
        <f>IF(J15&gt;0,(J15-K15)/J15,"")</f>
        <v/>
      </c>
      <c r="M15" s="99" t="inlineStr"/>
    </row>
    <row r="16" ht="24" customHeight="1">
      <c r="A16" s="130" t="inlineStr">
        <is>
          <t xml:space="preserve">  SUPORTE  (1)</t>
        </is>
      </c>
    </row>
    <row r="17" ht="22" customHeight="1">
      <c r="A17" s="67" t="inlineStr">
        <is>
          <t>MMD-VID-0007</t>
        </is>
      </c>
      <c r="B17" s="79" t="inlineStr">
        <is>
          <t>Suporte Preto fixo para notebook</t>
        </is>
      </c>
      <c r="C17" s="53" t="inlineStr"/>
      <c r="D17" s="53" t="inlineStr">
        <is>
          <t>SUPORTE</t>
        </is>
      </c>
      <c r="E17" s="53" t="inlineStr"/>
      <c r="F17" s="53" t="inlineStr"/>
      <c r="G17" s="53" t="inlineStr">
        <is>
          <t>DISPONIVEL</t>
        </is>
      </c>
      <c r="H17" s="53" t="inlineStr">
        <is>
          <t>USADO</t>
        </is>
      </c>
      <c r="I17" s="103" t="inlineStr">
        <is>
          <t>★★★☆☆</t>
        </is>
      </c>
      <c r="J17" s="141" t="n">
        <v>62.99</v>
      </c>
      <c r="K17" s="143" t="n">
        <v>62.99</v>
      </c>
      <c r="L17" s="101">
        <f>IF(J17&gt;0,(J17-K17)/J17,"")</f>
        <v/>
      </c>
      <c r="M17" s="102" t="inlineStr"/>
    </row>
    <row r="18" ht="24" customHeight="1">
      <c r="A18" s="130" t="inlineStr">
        <is>
          <t xml:space="preserve">  TABLET  (1)</t>
        </is>
      </c>
    </row>
    <row r="19" ht="22" customHeight="1">
      <c r="A19" s="132" t="inlineStr">
        <is>
          <t>MMD-VID-0009</t>
        </is>
      </c>
      <c r="B19" s="75" t="inlineStr">
        <is>
          <t>A16 - A3354</t>
        </is>
      </c>
      <c r="C19" s="58" t="inlineStr">
        <is>
          <t>Ipad</t>
        </is>
      </c>
      <c r="D19" s="58" t="inlineStr">
        <is>
          <t>TABLET</t>
        </is>
      </c>
      <c r="E19" s="58" t="inlineStr">
        <is>
          <t>L2PD49743N</t>
        </is>
      </c>
      <c r="F19" s="58" t="inlineStr"/>
      <c r="G19" s="58" t="inlineStr">
        <is>
          <t>DISPONIVEL</t>
        </is>
      </c>
      <c r="H19" s="58" t="inlineStr">
        <is>
          <t>USADO</t>
        </is>
      </c>
      <c r="I19" s="103" t="inlineStr">
        <is>
          <t>★★★☆☆</t>
        </is>
      </c>
      <c r="J19" s="142" t="n">
        <v>2849</v>
      </c>
      <c r="K19" s="143" t="n">
        <v>3299.99</v>
      </c>
      <c r="L19" s="98">
        <f>IF(J19&gt;0,(J19-K19)/J19,"")</f>
        <v/>
      </c>
      <c r="M19" s="99" t="inlineStr"/>
    </row>
    <row r="20"/>
    <row r="21" ht="26" customHeight="1">
      <c r="A21" s="104" t="inlineStr">
        <is>
          <t xml:space="preserve">  TOTAL: 9 itens</t>
        </is>
      </c>
      <c r="B21" s="144" t="n"/>
      <c r="C21" s="144" t="n"/>
      <c r="D21" s="144" t="n"/>
      <c r="E21" s="144" t="n"/>
      <c r="F21" s="145" t="n"/>
      <c r="G21" s="105" t="n"/>
      <c r="H21" s="105" t="n"/>
      <c r="I21" s="105" t="n"/>
      <c r="J21" s="106" t="n">
        <v>12690</v>
      </c>
      <c r="K21" s="105" t="n"/>
      <c r="L21" s="105" t="n"/>
      <c r="M21" s="105" t="n"/>
    </row>
    <row r="22"/>
    <row r="23" ht="18" customHeight="1">
      <c r="A23" s="34" t="inlineStr">
        <is>
          <t>MMD Eventos  |  Inventario Inteligente  |  03/04/2026</t>
        </is>
      </c>
    </row>
  </sheetData>
  <autoFilter ref="A4:M4"/>
  <mergeCells count="10">
    <mergeCell ref="A14:M14"/>
    <mergeCell ref="A1:M1"/>
    <mergeCell ref="A5:M5"/>
    <mergeCell ref="A23:M23"/>
    <mergeCell ref="A18:M18"/>
    <mergeCell ref="A7:M7"/>
    <mergeCell ref="A21:F21"/>
    <mergeCell ref="A16:M16"/>
    <mergeCell ref="A2:M2"/>
    <mergeCell ref="A11:M11"/>
  </mergeCells>
  <conditionalFormatting sqref="G5:G223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23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23">
    <cfRule type="expression" priority="12" dxfId="10">
      <formula>I5="★★★★★"</formula>
    </cfRule>
    <cfRule type="expression" priority="13" dxfId="11">
      <formula>I5="★★★★☆"</formula>
    </cfRule>
    <cfRule type="expression" priority="14" dxfId="12">
      <formula>I5="★★★☆☆"</formula>
    </cfRule>
    <cfRule type="expression" priority="15" dxfId="13">
      <formula>I5="★★☆☆☆"</formula>
    </cfRule>
    <cfRule type="expression" priority="16" dxfId="14">
      <formula>I5="★☆☆☆☆"</formula>
    </cfRule>
  </conditionalFormatting>
  <conditionalFormatting sqref="L5:L223">
    <cfRule type="cellIs" priority="17" operator="lessThan" dxfId="0">
      <formula>0.2</formula>
    </cfRule>
    <cfRule type="cellIs" priority="18" operator="between" dxfId="2">
      <formula>0.2</formula>
      <formula>0.4</formula>
    </cfRule>
    <cfRule type="cellIs" priority="19" operator="between" dxfId="15">
      <formula>0.4</formula>
      <formula>0.6</formula>
    </cfRule>
    <cfRule type="cellIs" priority="20" operator="greaterThanOrEqual" dxfId="16">
      <formula>0.6</formula>
    </cfRule>
  </conditionalFormatting>
  <dataValidations count="3">
    <dataValidation sqref="G5:G223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23" showDropDown="0" showInputMessage="0" showErrorMessage="0" allowBlank="1" type="list">
      <formula1>"NOVO,SEMI_NOVO,USADO,RECONDICIONADO"</formula1>
    </dataValidation>
    <dataValidation sqref="I5:I223" showDropDown="0" showInputMessage="0" showErrorMessage="0" allowBlank="1" type="list">
      <formula1>"★☆☆☆☆,★★☆☆☆,★★★☆☆,★★★★☆,★★★★★"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5" r:id="rId7"/>
    <hyperlink xmlns:r="http://schemas.openxmlformats.org/officeDocument/2006/relationships" ref="A17" r:id="rId8"/>
    <hyperlink xmlns:r="http://schemas.openxmlformats.org/officeDocument/2006/relationships" ref="A19" r:id="rId9"/>
  </hyperlink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F97316"/>
    <outlinePr summaryBelow="1" summaryRight="1"/>
    <pageSetUpPr/>
  </sheetPr>
  <dimension ref="A1:M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22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0" customWidth="1" min="12" max="12"/>
    <col width="36" customWidth="1" min="13" max="13"/>
  </cols>
  <sheetData>
    <row r="1" ht="38" customHeight="1">
      <c r="A1" s="133" t="inlineStr">
        <is>
          <t>ACESSORIO  —  Cases, Ferramentas, Roteadores</t>
        </is>
      </c>
    </row>
    <row r="2" ht="22" customHeight="1">
      <c r="A2" s="90" t="inlineStr">
        <is>
          <t>24 itens   |   Valor: R$ 34.050,41   |   Desgaste medio: 2,9/5</t>
        </is>
      </c>
    </row>
    <row r="3" ht="6" customHeight="1"/>
    <row r="4" ht="28" customHeight="1">
      <c r="A4" s="91" t="inlineStr">
        <is>
          <t>Codigo</t>
        </is>
      </c>
      <c r="B4" s="91" t="inlineStr">
        <is>
          <t>Nome</t>
        </is>
      </c>
      <c r="C4" s="91" t="inlineStr">
        <is>
          <t>Marca</t>
        </is>
      </c>
      <c r="D4" s="91" t="inlineStr">
        <is>
          <t>Subcategoria</t>
        </is>
      </c>
      <c r="E4" s="91" t="inlineStr">
        <is>
          <t>Serial Fab.</t>
        </is>
      </c>
      <c r="F4" s="91" t="inlineStr">
        <is>
          <t>Tag RFID</t>
        </is>
      </c>
      <c r="G4" s="91" t="inlineStr">
        <is>
          <t>Status</t>
        </is>
      </c>
      <c r="H4" s="91" t="inlineStr">
        <is>
          <t>Estado</t>
        </is>
      </c>
      <c r="I4" s="91" t="inlineStr">
        <is>
          <t>Desgaste</t>
        </is>
      </c>
      <c r="J4" s="91" t="inlineStr">
        <is>
          <t>Valor Original</t>
        </is>
      </c>
      <c r="K4" s="91" t="inlineStr">
        <is>
          <t>Valor Atual</t>
        </is>
      </c>
      <c r="L4" s="91" t="inlineStr">
        <is>
          <t>Deprec.%</t>
        </is>
      </c>
      <c r="M4" s="91" t="inlineStr">
        <is>
          <t>Notas</t>
        </is>
      </c>
    </row>
    <row r="5" ht="24" customHeight="1">
      <c r="A5" s="134" t="inlineStr">
        <is>
          <t xml:space="preserve">  BODYPACK  (1)</t>
        </is>
      </c>
    </row>
    <row r="6" ht="22" customHeight="1">
      <c r="A6" s="68" t="inlineStr">
        <is>
          <t>MMD-ACE-0001</t>
        </is>
      </c>
      <c r="B6" s="75" t="inlineStr">
        <is>
          <t>ewd skm-s freq.q1-6</t>
        </is>
      </c>
      <c r="C6" s="58" t="inlineStr">
        <is>
          <t>Sennheiser</t>
        </is>
      </c>
      <c r="D6" s="58" t="inlineStr">
        <is>
          <t>BODYPACK</t>
        </is>
      </c>
      <c r="E6" s="58" t="inlineStr">
        <is>
          <t>54335089109</t>
        </is>
      </c>
      <c r="F6" s="58" t="inlineStr"/>
      <c r="G6" s="58" t="inlineStr">
        <is>
          <t>DISPONIVEL</t>
        </is>
      </c>
      <c r="H6" s="58" t="inlineStr">
        <is>
          <t>USADO</t>
        </is>
      </c>
      <c r="I6" s="103" t="inlineStr">
        <is>
          <t>★★★☆☆</t>
        </is>
      </c>
      <c r="J6" s="142" t="n">
        <v>2205</v>
      </c>
      <c r="K6" s="143" t="n">
        <v>3581.65</v>
      </c>
      <c r="L6" s="98">
        <f>IF(J6&gt;0,(J6-K6)/J6,"")</f>
        <v/>
      </c>
      <c r="M6" s="99" t="inlineStr"/>
    </row>
    <row r="7" ht="24" customHeight="1">
      <c r="A7" s="134" t="inlineStr">
        <is>
          <t xml:space="preserve">  CASE  (1)</t>
        </is>
      </c>
    </row>
    <row r="8" ht="22" customHeight="1">
      <c r="A8" s="88" t="inlineStr">
        <is>
          <t>MMD-ACE-0022</t>
        </is>
      </c>
      <c r="B8" s="79" t="inlineStr">
        <is>
          <t>VAZIO SEM NUMERO</t>
        </is>
      </c>
      <c r="C8" s="53" t="inlineStr">
        <is>
          <t>Universal Cases</t>
        </is>
      </c>
      <c r="D8" s="53" t="inlineStr">
        <is>
          <t>CASE</t>
        </is>
      </c>
      <c r="E8" s="53" t="inlineStr"/>
      <c r="F8" s="53" t="inlineStr"/>
      <c r="G8" s="53" t="inlineStr">
        <is>
          <t>DISPONIVEL</t>
        </is>
      </c>
      <c r="H8" s="53" t="inlineStr">
        <is>
          <t>USADO</t>
        </is>
      </c>
      <c r="I8" s="103" t="inlineStr">
        <is>
          <t>★★★☆☆</t>
        </is>
      </c>
      <c r="J8" s="141" t="n">
        <v>950</v>
      </c>
      <c r="K8" s="143" t="n">
        <v>1282.99</v>
      </c>
      <c r="L8" s="101">
        <f>IF(J8&gt;0,(J8-K8)/J8,"")</f>
        <v/>
      </c>
      <c r="M8" s="102" t="inlineStr"/>
    </row>
    <row r="9" ht="24" customHeight="1">
      <c r="A9" s="134" t="inlineStr">
        <is>
          <t xml:space="preserve">  CLIMATIZADOR  (3)</t>
        </is>
      </c>
    </row>
    <row r="10" ht="22" customHeight="1">
      <c r="A10" s="68" t="inlineStr">
        <is>
          <t>MMD-ACE-0002</t>
        </is>
      </c>
      <c r="B10" s="75" t="inlineStr">
        <is>
          <t>PLI-45M</t>
        </is>
      </c>
      <c r="C10" s="58" t="inlineStr">
        <is>
          <t>Poloclima</t>
        </is>
      </c>
      <c r="D10" s="58" t="inlineStr">
        <is>
          <t>CLIMATIZADOR</t>
        </is>
      </c>
      <c r="E10" s="58" t="inlineStr">
        <is>
          <t>1505910120424</t>
        </is>
      </c>
      <c r="F10" s="58" t="inlineStr"/>
      <c r="G10" s="58" t="inlineStr">
        <is>
          <t>DISPONIVEL</t>
        </is>
      </c>
      <c r="H10" s="58" t="inlineStr">
        <is>
          <t>USADO</t>
        </is>
      </c>
      <c r="I10" s="103" t="inlineStr">
        <is>
          <t>★★★☆☆</t>
        </is>
      </c>
      <c r="J10" s="142" t="n">
        <v>1499</v>
      </c>
      <c r="K10" s="143" t="n">
        <v>1375.98</v>
      </c>
      <c r="L10" s="98">
        <f>IF(J10&gt;0,(J10-K10)/J10,"")</f>
        <v/>
      </c>
      <c r="M10" s="99" t="inlineStr"/>
    </row>
    <row r="11" ht="22" customHeight="1">
      <c r="A11" s="88" t="inlineStr">
        <is>
          <t>MMD-ACE-0003</t>
        </is>
      </c>
      <c r="B11" s="79" t="inlineStr">
        <is>
          <t>PLI-70M</t>
        </is>
      </c>
      <c r="C11" s="53" t="inlineStr">
        <is>
          <t>Poloclima</t>
        </is>
      </c>
      <c r="D11" s="53" t="inlineStr">
        <is>
          <t>CLIMATIZADOR</t>
        </is>
      </c>
      <c r="E11" s="53" t="inlineStr">
        <is>
          <t>1505930840424</t>
        </is>
      </c>
      <c r="F11" s="53" t="inlineStr"/>
      <c r="G11" s="53" t="inlineStr">
        <is>
          <t>DISPONIVEL</t>
        </is>
      </c>
      <c r="H11" s="53" t="inlineStr">
        <is>
          <t>USADO</t>
        </is>
      </c>
      <c r="I11" s="103" t="inlineStr">
        <is>
          <t>★★★☆☆</t>
        </is>
      </c>
      <c r="J11" s="141" t="n">
        <v>1499</v>
      </c>
      <c r="K11" s="143" t="n">
        <v>1467.88</v>
      </c>
      <c r="L11" s="101">
        <f>IF(J11&gt;0,(J11-K11)/J11,"")</f>
        <v/>
      </c>
      <c r="M11" s="102" t="inlineStr"/>
    </row>
    <row r="12" ht="22" customHeight="1">
      <c r="A12" s="68" t="inlineStr">
        <is>
          <t>MMD-ACE-0004</t>
        </is>
      </c>
      <c r="B12" s="75" t="inlineStr">
        <is>
          <t>PLI-45M</t>
        </is>
      </c>
      <c r="C12" s="58" t="inlineStr">
        <is>
          <t>Poloclima</t>
        </is>
      </c>
      <c r="D12" s="58" t="inlineStr">
        <is>
          <t>CLIMATIZADOR</t>
        </is>
      </c>
      <c r="E12" s="58" t="inlineStr">
        <is>
          <t>1505910080424</t>
        </is>
      </c>
      <c r="F12" s="58" t="inlineStr"/>
      <c r="G12" s="58" t="inlineStr">
        <is>
          <t>DISPONIVEL</t>
        </is>
      </c>
      <c r="H12" s="58" t="inlineStr">
        <is>
          <t>USADO</t>
        </is>
      </c>
      <c r="I12" s="103" t="inlineStr">
        <is>
          <t>★★★☆☆</t>
        </is>
      </c>
      <c r="J12" s="142" t="n">
        <v>1499</v>
      </c>
      <c r="K12" s="143" t="n">
        <v>1375.98</v>
      </c>
      <c r="L12" s="98">
        <f>IF(J12&gt;0,(J12-K12)/J12,"")</f>
        <v/>
      </c>
      <c r="M12" s="99" t="inlineStr"/>
    </row>
    <row r="13" ht="24" customHeight="1">
      <c r="A13" s="134" t="inlineStr">
        <is>
          <t xml:space="preserve">  EFFECTS  (1)</t>
        </is>
      </c>
    </row>
    <row r="14" ht="22" customHeight="1">
      <c r="A14" s="88" t="inlineStr">
        <is>
          <t>MMD-ACE-0005</t>
        </is>
      </c>
      <c r="B14" s="79" t="inlineStr">
        <is>
          <t>Teil 2</t>
        </is>
      </c>
      <c r="C14" s="53" t="inlineStr">
        <is>
          <t>Revolo</t>
        </is>
      </c>
      <c r="D14" s="53" t="inlineStr">
        <is>
          <t>EFFECTS</t>
        </is>
      </c>
      <c r="E14" s="53" t="inlineStr"/>
      <c r="F14" s="53" t="inlineStr"/>
      <c r="G14" s="53" t="inlineStr">
        <is>
          <t>DISPONIVEL</t>
        </is>
      </c>
      <c r="H14" s="53" t="inlineStr">
        <is>
          <t>USADO</t>
        </is>
      </c>
      <c r="I14" s="103" t="inlineStr">
        <is>
          <t>★★★☆☆</t>
        </is>
      </c>
      <c r="J14" s="141" t="n">
        <v>1790</v>
      </c>
      <c r="K14" s="143" t="n">
        <v>2229.49</v>
      </c>
      <c r="L14" s="101">
        <f>IF(J14&gt;0,(J14-K14)/J14,"")</f>
        <v/>
      </c>
      <c r="M14" s="102" t="inlineStr"/>
    </row>
    <row r="15" ht="24" customHeight="1">
      <c r="A15" s="134" t="inlineStr">
        <is>
          <t xml:space="preserve">  MIC  (2)</t>
        </is>
      </c>
    </row>
    <row r="16" ht="22" customHeight="1">
      <c r="A16" s="68" t="inlineStr">
        <is>
          <t>MMD-ACE-0006</t>
        </is>
      </c>
      <c r="B16" s="75" t="inlineStr">
        <is>
          <t>ewd skm-s freq.q1-6</t>
        </is>
      </c>
      <c r="C16" s="58" t="inlineStr">
        <is>
          <t>Sennheiser</t>
        </is>
      </c>
      <c r="D16" s="58" t="inlineStr">
        <is>
          <t>MIC</t>
        </is>
      </c>
      <c r="E16" s="58" t="inlineStr">
        <is>
          <t>5272011988</t>
        </is>
      </c>
      <c r="F16" s="58" t="inlineStr"/>
      <c r="G16" s="58" t="inlineStr">
        <is>
          <t>DISPONIVEL</t>
        </is>
      </c>
      <c r="H16" s="58" t="inlineStr">
        <is>
          <t>USADO</t>
        </is>
      </c>
      <c r="I16" s="103" t="inlineStr">
        <is>
          <t>★★★☆☆</t>
        </is>
      </c>
      <c r="J16" s="142" t="n">
        <v>2205</v>
      </c>
      <c r="K16" s="143" t="n">
        <v>3581.65</v>
      </c>
      <c r="L16" s="98">
        <f>IF(J16&gt;0,(J16-K16)/J16,"")</f>
        <v/>
      </c>
      <c r="M16" s="99" t="inlineStr"/>
    </row>
    <row r="17" ht="22" customHeight="1">
      <c r="A17" s="88" t="inlineStr">
        <is>
          <t>MMD-ACE-0007</t>
        </is>
      </c>
      <c r="B17" s="79" t="inlineStr">
        <is>
          <t>SKM100s G4 - Freq g</t>
        </is>
      </c>
      <c r="C17" s="53" t="inlineStr">
        <is>
          <t>Sennheiser</t>
        </is>
      </c>
      <c r="D17" s="53" t="inlineStr">
        <is>
          <t>MIC</t>
        </is>
      </c>
      <c r="E17" s="53" t="inlineStr">
        <is>
          <t>4338001413</t>
        </is>
      </c>
      <c r="F17" s="53" t="inlineStr"/>
      <c r="G17" s="53" t="inlineStr">
        <is>
          <t>DISPONIVEL</t>
        </is>
      </c>
      <c r="H17" s="53" t="inlineStr">
        <is>
          <t>USADO</t>
        </is>
      </c>
      <c r="I17" s="103" t="inlineStr">
        <is>
          <t>★★★☆☆</t>
        </is>
      </c>
      <c r="J17" s="141" t="n">
        <v>2250</v>
      </c>
      <c r="K17" s="143" t="n">
        <v>2250</v>
      </c>
      <c r="L17" s="101">
        <f>IF(J17&gt;0,(J17-K17)/J17,"")</f>
        <v/>
      </c>
      <c r="M17" s="102" t="inlineStr"/>
    </row>
    <row r="18" ht="24" customHeight="1">
      <c r="A18" s="134" t="inlineStr">
        <is>
          <t xml:space="preserve">  MOVING BEAM  (4)</t>
        </is>
      </c>
    </row>
    <row r="19" ht="22" customHeight="1">
      <c r="A19" s="68" t="inlineStr">
        <is>
          <t>MMD-ACE-0008</t>
        </is>
      </c>
      <c r="B19" s="75" t="inlineStr">
        <is>
          <t>ST-X251LAYX2</t>
        </is>
      </c>
      <c r="C19" s="58" t="inlineStr">
        <is>
          <t>Showtech</t>
        </is>
      </c>
      <c r="D19" s="58" t="inlineStr">
        <is>
          <t>MOVING BEAM</t>
        </is>
      </c>
      <c r="E19" s="58" t="inlineStr"/>
      <c r="F19" s="58" t="inlineStr"/>
      <c r="G19" s="58" t="inlineStr">
        <is>
          <t>DISPONIVEL</t>
        </is>
      </c>
      <c r="H19" s="58" t="inlineStr">
        <is>
          <t>USADO</t>
        </is>
      </c>
      <c r="I19" s="95" t="inlineStr">
        <is>
          <t>★★☆☆☆</t>
        </is>
      </c>
      <c r="J19" s="142" t="n">
        <v>2770</v>
      </c>
      <c r="K19" s="143" t="n">
        <v>1845</v>
      </c>
      <c r="L19" s="98">
        <f>IF(J19&gt;0,(J19-K19)/J19,"")</f>
        <v/>
      </c>
      <c r="M19" s="99" t="inlineStr"/>
    </row>
    <row r="20" ht="22" customHeight="1">
      <c r="A20" s="88" t="inlineStr">
        <is>
          <t>MMD-ACE-0009</t>
        </is>
      </c>
      <c r="B20" s="79" t="inlineStr">
        <is>
          <t>ST-135BY-CS</t>
        </is>
      </c>
      <c r="C20" s="53" t="inlineStr">
        <is>
          <t>Showtech</t>
        </is>
      </c>
      <c r="D20" s="53" t="inlineStr">
        <is>
          <t>MOVING BEAM</t>
        </is>
      </c>
      <c r="E20" s="53" t="inlineStr"/>
      <c r="F20" s="53" t="inlineStr"/>
      <c r="G20" s="53" t="inlineStr">
        <is>
          <t>DISPONIVEL</t>
        </is>
      </c>
      <c r="H20" s="53" t="inlineStr">
        <is>
          <t>USADO</t>
        </is>
      </c>
      <c r="I20" s="103" t="inlineStr">
        <is>
          <t>★★★☆☆</t>
        </is>
      </c>
      <c r="J20" s="141" t="n">
        <v>950</v>
      </c>
      <c r="K20" s="143" t="n">
        <v>1190</v>
      </c>
      <c r="L20" s="101">
        <f>IF(J20&gt;0,(J20-K20)/J20,"")</f>
        <v/>
      </c>
      <c r="M20" s="102" t="inlineStr"/>
    </row>
    <row r="21" ht="22" customHeight="1">
      <c r="A21" s="68" t="inlineStr">
        <is>
          <t>MMD-ACE-0010</t>
        </is>
      </c>
      <c r="B21" s="75" t="inlineStr">
        <is>
          <t>ST-X251LAY</t>
        </is>
      </c>
      <c r="C21" s="58" t="inlineStr">
        <is>
          <t>Showtech</t>
        </is>
      </c>
      <c r="D21" s="58" t="inlineStr">
        <is>
          <t>MOVING BEAM</t>
        </is>
      </c>
      <c r="E21" s="58" t="inlineStr"/>
      <c r="F21" s="58" t="inlineStr"/>
      <c r="G21" s="58" t="inlineStr">
        <is>
          <t>DISPONIVEL</t>
        </is>
      </c>
      <c r="H21" s="58" t="inlineStr">
        <is>
          <t>USADO</t>
        </is>
      </c>
      <c r="I21" s="95" t="inlineStr">
        <is>
          <t>★★☆☆☆</t>
        </is>
      </c>
      <c r="J21" s="142" t="n">
        <v>4590</v>
      </c>
      <c r="K21" s="143" t="n">
        <v>2500</v>
      </c>
      <c r="L21" s="98">
        <f>IF(J21&gt;0,(J21-K21)/J21,"")</f>
        <v/>
      </c>
      <c r="M21" s="99" t="inlineStr"/>
    </row>
    <row r="22" ht="22" customHeight="1">
      <c r="A22" s="88" t="inlineStr">
        <is>
          <t>MMD-ACE-0011</t>
        </is>
      </c>
      <c r="B22" s="79" t="inlineStr">
        <is>
          <t>ST-X251LAY</t>
        </is>
      </c>
      <c r="C22" s="53" t="inlineStr">
        <is>
          <t>Showtech</t>
        </is>
      </c>
      <c r="D22" s="53" t="inlineStr">
        <is>
          <t>MOVING BEAM</t>
        </is>
      </c>
      <c r="E22" s="53" t="inlineStr"/>
      <c r="F22" s="53" t="inlineStr"/>
      <c r="G22" s="53" t="inlineStr">
        <is>
          <t>DISPONIVEL</t>
        </is>
      </c>
      <c r="H22" s="53" t="inlineStr">
        <is>
          <t>USADO</t>
        </is>
      </c>
      <c r="I22" s="95" t="inlineStr">
        <is>
          <t>★★☆☆☆</t>
        </is>
      </c>
      <c r="J22" s="141" t="n">
        <v>4590</v>
      </c>
      <c r="K22" s="143" t="n">
        <v>2500</v>
      </c>
      <c r="L22" s="101">
        <f>IF(J22&gt;0,(J22-K22)/J22,"")</f>
        <v/>
      </c>
      <c r="M22" s="102" t="inlineStr"/>
    </row>
    <row r="23" ht="24" customHeight="1">
      <c r="A23" s="134" t="inlineStr">
        <is>
          <t xml:space="preserve">  OUTRO  (1)</t>
        </is>
      </c>
    </row>
    <row r="24" ht="22" customHeight="1">
      <c r="A24" s="68" t="inlineStr">
        <is>
          <t>MMD-ACE-0024</t>
        </is>
      </c>
      <c r="B24" s="75" t="inlineStr">
        <is>
          <t>Sender Box SB-8</t>
        </is>
      </c>
      <c r="C24" s="58" t="inlineStr"/>
      <c r="D24" s="58" t="inlineStr">
        <is>
          <t>OUTRO</t>
        </is>
      </c>
      <c r="E24" s="58" t="inlineStr"/>
      <c r="F24" s="58" t="inlineStr"/>
      <c r="G24" s="58" t="inlineStr">
        <is>
          <t>DISPONIVEL</t>
        </is>
      </c>
      <c r="H24" s="58" t="inlineStr">
        <is>
          <t>USADO</t>
        </is>
      </c>
      <c r="I24" s="103" t="inlineStr">
        <is>
          <t>★★★☆☆</t>
        </is>
      </c>
      <c r="J24" s="142" t="n">
        <v>950</v>
      </c>
      <c r="K24" s="143" t="n">
        <v>1282.99</v>
      </c>
      <c r="L24" s="98">
        <f>IF(J24&gt;0,(J24-K24)/J24,"")</f>
        <v/>
      </c>
      <c r="M24" s="99" t="inlineStr"/>
    </row>
    <row r="25" ht="24" customHeight="1">
      <c r="A25" s="134" t="inlineStr">
        <is>
          <t xml:space="preserve">  PAR LEDS  (1)</t>
        </is>
      </c>
    </row>
    <row r="26" ht="22" customHeight="1">
      <c r="A26" s="88" t="inlineStr">
        <is>
          <t>MMD-ACE-0012</t>
        </is>
      </c>
      <c r="B26" s="79" t="inlineStr">
        <is>
          <t>ST-OP1806CS</t>
        </is>
      </c>
      <c r="C26" s="53" t="inlineStr">
        <is>
          <t>Showtech</t>
        </is>
      </c>
      <c r="D26" s="53" t="inlineStr">
        <is>
          <t>PAR LEDS</t>
        </is>
      </c>
      <c r="E26" s="53" t="inlineStr"/>
      <c r="F26" s="53" t="inlineStr"/>
      <c r="G26" s="53" t="inlineStr">
        <is>
          <t>DISPONIVEL</t>
        </is>
      </c>
      <c r="H26" s="53" t="inlineStr">
        <is>
          <t>USADO</t>
        </is>
      </c>
      <c r="I26" s="103" t="inlineStr">
        <is>
          <t>★★★☆☆</t>
        </is>
      </c>
      <c r="J26" s="141" t="n">
        <v>640</v>
      </c>
      <c r="K26" s="143" t="n">
        <v>640</v>
      </c>
      <c r="L26" s="101">
        <f>IF(J26&gt;0,(J26-K26)/J26,"")</f>
        <v/>
      </c>
      <c r="M26" s="102" t="inlineStr"/>
    </row>
    <row r="27" ht="24" customHeight="1">
      <c r="A27" s="134" t="inlineStr">
        <is>
          <t xml:space="preserve">  PEDALEIRA  (1)</t>
        </is>
      </c>
    </row>
    <row r="28" ht="22" customHeight="1">
      <c r="A28" s="68" t="inlineStr">
        <is>
          <t>MMD-ACE-0013</t>
        </is>
      </c>
      <c r="B28" s="75" t="inlineStr">
        <is>
          <t>GR-33</t>
        </is>
      </c>
      <c r="C28" s="58" t="inlineStr">
        <is>
          <t>Rolland</t>
        </is>
      </c>
      <c r="D28" s="58" t="inlineStr">
        <is>
          <t>PEDALEIRA</t>
        </is>
      </c>
      <c r="E28" s="58" t="inlineStr">
        <is>
          <t>AQ19190</t>
        </is>
      </c>
      <c r="F28" s="58" t="inlineStr"/>
      <c r="G28" s="58" t="inlineStr">
        <is>
          <t>DISPONIVEL</t>
        </is>
      </c>
      <c r="H28" s="58" t="inlineStr">
        <is>
          <t>USADO</t>
        </is>
      </c>
      <c r="I28" s="103" t="inlineStr">
        <is>
          <t>★★★☆☆</t>
        </is>
      </c>
      <c r="J28" s="142" t="n">
        <v>950</v>
      </c>
      <c r="K28" s="143" t="n">
        <v>1282.99</v>
      </c>
      <c r="L28" s="98">
        <f>IF(J28&gt;0,(J28-K28)/J28,"")</f>
        <v/>
      </c>
      <c r="M28" s="99" t="inlineStr"/>
    </row>
    <row r="29" ht="24" customHeight="1">
      <c r="A29" s="134" t="inlineStr">
        <is>
          <t xml:space="preserve">  RADIO  (1)</t>
        </is>
      </c>
    </row>
    <row r="30" ht="22" customHeight="1">
      <c r="A30" s="88" t="inlineStr">
        <is>
          <t>MMD-ACE-0023</t>
        </is>
      </c>
      <c r="B30" s="79" t="inlineStr">
        <is>
          <t>talk about (Kit completo com fonte e fone)</t>
        </is>
      </c>
      <c r="C30" s="53" t="inlineStr">
        <is>
          <t>Motorola</t>
        </is>
      </c>
      <c r="D30" s="53" t="inlineStr">
        <is>
          <t>RADIO</t>
        </is>
      </c>
      <c r="E30" s="53" t="inlineStr"/>
      <c r="F30" s="53" t="inlineStr"/>
      <c r="G30" s="53" t="inlineStr">
        <is>
          <t>DISPONIVEL</t>
        </is>
      </c>
      <c r="H30" s="53" t="inlineStr">
        <is>
          <t>USADO</t>
        </is>
      </c>
      <c r="I30" s="103" t="inlineStr">
        <is>
          <t>★★★☆☆</t>
        </is>
      </c>
      <c r="J30" s="141" t="n">
        <v>950</v>
      </c>
      <c r="K30" s="143" t="n">
        <v>1282.99</v>
      </c>
      <c r="L30" s="101">
        <f>IF(J30&gt;0,(J30-K30)/J30,"")</f>
        <v/>
      </c>
      <c r="M30" s="102" t="inlineStr"/>
    </row>
    <row r="31" ht="24" customHeight="1">
      <c r="A31" s="134" t="inlineStr">
        <is>
          <t xml:space="preserve">  RECEPTOR  (1)</t>
        </is>
      </c>
    </row>
    <row r="32" ht="22" customHeight="1">
      <c r="A32" s="68" t="inlineStr">
        <is>
          <t>MMD-ACE-0014</t>
        </is>
      </c>
      <c r="B32" s="75" t="inlineStr">
        <is>
          <t>WRV 210 com duas antenas</t>
        </is>
      </c>
      <c r="C32" s="58" t="inlineStr">
        <is>
          <t>Cisco</t>
        </is>
      </c>
      <c r="D32" s="58" t="inlineStr">
        <is>
          <t>RECEPTOR</t>
        </is>
      </c>
      <c r="E32" s="58" t="inlineStr">
        <is>
          <t>GSZ1528000J</t>
        </is>
      </c>
      <c r="F32" s="58" t="inlineStr"/>
      <c r="G32" s="58" t="inlineStr">
        <is>
          <t>DISPONIVEL</t>
        </is>
      </c>
      <c r="H32" s="58" t="inlineStr">
        <is>
          <t>USADO</t>
        </is>
      </c>
      <c r="I32" s="103" t="inlineStr">
        <is>
          <t>★★★☆☆</t>
        </is>
      </c>
      <c r="J32" s="142" t="n">
        <v>950</v>
      </c>
      <c r="K32" s="143" t="n">
        <v>1282.99</v>
      </c>
      <c r="L32" s="98">
        <f>IF(J32&gt;0,(J32-K32)/J32,"")</f>
        <v/>
      </c>
      <c r="M32" s="99" t="inlineStr"/>
    </row>
    <row r="33" ht="24" customHeight="1">
      <c r="A33" s="134" t="inlineStr">
        <is>
          <t xml:space="preserve">  RIBALTA  (3)</t>
        </is>
      </c>
    </row>
    <row r="34" ht="22" customHeight="1">
      <c r="A34" s="88" t="inlineStr">
        <is>
          <t>MMD-ACE-0015</t>
        </is>
      </c>
      <c r="B34" s="79" t="inlineStr">
        <is>
          <t>ST-1260XWS</t>
        </is>
      </c>
      <c r="C34" s="53" t="inlineStr">
        <is>
          <t>Showtech</t>
        </is>
      </c>
      <c r="D34" s="53" t="inlineStr">
        <is>
          <t>RIBALTA</t>
        </is>
      </c>
      <c r="E34" s="53" t="inlineStr"/>
      <c r="F34" s="53" t="inlineStr"/>
      <c r="G34" s="53" t="inlineStr">
        <is>
          <t>DISPONIVEL</t>
        </is>
      </c>
      <c r="H34" s="53" t="inlineStr">
        <is>
          <t>USADO</t>
        </is>
      </c>
      <c r="I34" s="103" t="inlineStr">
        <is>
          <t>★★★☆☆</t>
        </is>
      </c>
      <c r="J34" s="141" t="n">
        <v>640</v>
      </c>
      <c r="K34" s="143" t="n">
        <v>640</v>
      </c>
      <c r="L34" s="101">
        <f>IF(J34&gt;0,(J34-K34)/J34,"")</f>
        <v/>
      </c>
      <c r="M34" s="102" t="inlineStr"/>
    </row>
    <row r="35" ht="22" customHeight="1">
      <c r="A35" s="68" t="inlineStr">
        <is>
          <t>MMD-ACE-0016</t>
        </is>
      </c>
      <c r="B35" s="75" t="inlineStr">
        <is>
          <t>ST-1260XWS</t>
        </is>
      </c>
      <c r="C35" s="58" t="inlineStr">
        <is>
          <t>Showtech</t>
        </is>
      </c>
      <c r="D35" s="58" t="inlineStr">
        <is>
          <t>RIBALTA</t>
        </is>
      </c>
      <c r="E35" s="58" t="inlineStr"/>
      <c r="F35" s="58" t="inlineStr"/>
      <c r="G35" s="58" t="inlineStr">
        <is>
          <t>DISPONIVEL</t>
        </is>
      </c>
      <c r="H35" s="58" t="inlineStr">
        <is>
          <t>USADO</t>
        </is>
      </c>
      <c r="I35" s="103" t="inlineStr">
        <is>
          <t>★★★☆☆</t>
        </is>
      </c>
      <c r="J35" s="142" t="n">
        <v>640</v>
      </c>
      <c r="K35" s="143" t="n">
        <v>640</v>
      </c>
      <c r="L35" s="98">
        <f>IF(J35&gt;0,(J35-K35)/J35,"")</f>
        <v/>
      </c>
      <c r="M35" s="99" t="inlineStr"/>
    </row>
    <row r="36" ht="22" customHeight="1">
      <c r="A36" s="88" t="inlineStr">
        <is>
          <t>MMD-ACE-0017</t>
        </is>
      </c>
      <c r="B36" s="79" t="inlineStr">
        <is>
          <t>ST-1260XWS</t>
        </is>
      </c>
      <c r="C36" s="53" t="inlineStr">
        <is>
          <t>Showtech</t>
        </is>
      </c>
      <c r="D36" s="53" t="inlineStr">
        <is>
          <t>RIBALTA</t>
        </is>
      </c>
      <c r="E36" s="53" t="inlineStr"/>
      <c r="F36" s="53" t="inlineStr"/>
      <c r="G36" s="53" t="inlineStr">
        <is>
          <t>DISPONIVEL</t>
        </is>
      </c>
      <c r="H36" s="53" t="inlineStr">
        <is>
          <t>USADO</t>
        </is>
      </c>
      <c r="I36" s="103" t="inlineStr">
        <is>
          <t>★★★☆☆</t>
        </is>
      </c>
      <c r="J36" s="141" t="n">
        <v>640</v>
      </c>
      <c r="K36" s="143" t="n">
        <v>640</v>
      </c>
      <c r="L36" s="101">
        <f>IF(J36&gt;0,(J36-K36)/J36,"")</f>
        <v/>
      </c>
      <c r="M36" s="102" t="inlineStr"/>
    </row>
    <row r="37" ht="24" customHeight="1">
      <c r="A37" s="134" t="inlineStr">
        <is>
          <t xml:space="preserve">  ROTEADOR  (3)</t>
        </is>
      </c>
    </row>
    <row r="38" ht="22" customHeight="1">
      <c r="A38" s="68" t="inlineStr">
        <is>
          <t>MMD-ACE-0018</t>
        </is>
      </c>
      <c r="B38" s="75" t="inlineStr">
        <is>
          <t>ROUTER BRANCO</t>
        </is>
      </c>
      <c r="C38" s="58" t="inlineStr">
        <is>
          <t>Apple</t>
        </is>
      </c>
      <c r="D38" s="58" t="inlineStr">
        <is>
          <t>ROTEADOR</t>
        </is>
      </c>
      <c r="E38" s="58" t="inlineStr"/>
      <c r="F38" s="58" t="inlineStr"/>
      <c r="G38" s="58" t="inlineStr">
        <is>
          <t>DISPONIVEL</t>
        </is>
      </c>
      <c r="H38" s="58" t="inlineStr">
        <is>
          <t>USADO</t>
        </is>
      </c>
      <c r="I38" s="103" t="inlineStr">
        <is>
          <t>★★★☆☆</t>
        </is>
      </c>
      <c r="J38" s="142" t="n">
        <v>249</v>
      </c>
      <c r="K38" s="143" t="n">
        <v>289.98</v>
      </c>
      <c r="L38" s="98">
        <f>IF(J38&gt;0,(J38-K38)/J38,"")</f>
        <v/>
      </c>
      <c r="M38" s="99" t="inlineStr"/>
    </row>
    <row r="39" ht="22" customHeight="1">
      <c r="A39" s="88" t="inlineStr">
        <is>
          <t>MMD-ACE-0019</t>
        </is>
      </c>
      <c r="B39" s="79" t="inlineStr">
        <is>
          <t>8 Port Nway Switch modelo ENH908-NWY</t>
        </is>
      </c>
      <c r="C39" s="53" t="inlineStr">
        <is>
          <t>Encore Eletronics</t>
        </is>
      </c>
      <c r="D39" s="53" t="inlineStr">
        <is>
          <t>ROTEADOR</t>
        </is>
      </c>
      <c r="E39" s="53" t="inlineStr">
        <is>
          <t>11097073002285</t>
        </is>
      </c>
      <c r="F39" s="53" t="inlineStr"/>
      <c r="G39" s="53" t="inlineStr">
        <is>
          <t>DISPONIVEL</t>
        </is>
      </c>
      <c r="H39" s="53" t="inlineStr">
        <is>
          <t>USADO</t>
        </is>
      </c>
      <c r="I39" s="103" t="inlineStr">
        <is>
          <t>★★★☆☆</t>
        </is>
      </c>
      <c r="J39" s="141" t="n">
        <v>70.2</v>
      </c>
      <c r="K39" s="143" t="n">
        <v>70.2</v>
      </c>
      <c r="L39" s="101">
        <f>IF(J39&gt;0,(J39-K39)/J39,"")</f>
        <v/>
      </c>
      <c r="M39" s="102" t="inlineStr"/>
    </row>
    <row r="40" ht="22" customHeight="1">
      <c r="A40" s="68" t="inlineStr">
        <is>
          <t>MMD-ACE-0020</t>
        </is>
      </c>
      <c r="B40" s="75" t="inlineStr">
        <is>
          <t>DES-1008C</t>
        </is>
      </c>
      <c r="C40" s="58" t="inlineStr">
        <is>
          <t>Dlink</t>
        </is>
      </c>
      <c r="D40" s="58" t="inlineStr">
        <is>
          <t>ROTEADOR</t>
        </is>
      </c>
      <c r="E40" s="58" t="inlineStr">
        <is>
          <t>QS7O211032625</t>
        </is>
      </c>
      <c r="F40" s="58" t="inlineStr"/>
      <c r="G40" s="58" t="inlineStr">
        <is>
          <t>DISPONIVEL</t>
        </is>
      </c>
      <c r="H40" s="58" t="inlineStr">
        <is>
          <t>USADO</t>
        </is>
      </c>
      <c r="I40" s="103" t="inlineStr">
        <is>
          <t>★★★☆☆</t>
        </is>
      </c>
      <c r="J40" s="142" t="n">
        <v>79.33</v>
      </c>
      <c r="K40" s="143" t="n">
        <v>66.2</v>
      </c>
      <c r="L40" s="98">
        <f>IF(J40&gt;0,(J40-K40)/J40,"")</f>
        <v/>
      </c>
      <c r="M40" s="99" t="inlineStr"/>
    </row>
    <row r="41" ht="24" customHeight="1">
      <c r="A41" s="134" t="inlineStr">
        <is>
          <t xml:space="preserve">  TESTER DE CABOS DE AUDIO  (1)</t>
        </is>
      </c>
    </row>
    <row r="42" ht="36" customHeight="1">
      <c r="A42" s="88" t="inlineStr">
        <is>
          <t>MMD-ACE-0021</t>
        </is>
      </c>
      <c r="B42" s="79" t="inlineStr">
        <is>
          <t>CABLE TESTER CT100</t>
        </is>
      </c>
      <c r="C42" s="53" t="inlineStr">
        <is>
          <t>Behringer</t>
        </is>
      </c>
      <c r="D42" s="53" t="inlineStr">
        <is>
          <t>TESTER DE CABOS DE AUDIO</t>
        </is>
      </c>
      <c r="E42" s="53" t="inlineStr">
        <is>
          <t>N1007727133</t>
        </is>
      </c>
      <c r="F42" s="53" t="inlineStr"/>
      <c r="G42" s="53" t="inlineStr">
        <is>
          <t>DISPONIVEL</t>
        </is>
      </c>
      <c r="H42" s="53" t="inlineStr">
        <is>
          <t>USADO</t>
        </is>
      </c>
      <c r="I42" s="103" t="inlineStr">
        <is>
          <t>★★★☆☆</t>
        </is>
      </c>
      <c r="J42" s="141" t="n">
        <v>494.88</v>
      </c>
      <c r="K42" s="143" t="n">
        <v>350</v>
      </c>
      <c r="L42" s="101">
        <f>IF(J42&gt;0,(J42-K42)/J42,"")</f>
        <v/>
      </c>
      <c r="M42" s="102" t="inlineStr">
        <is>
          <t>Serial Fab.: DATE CODE 1007</t>
        </is>
      </c>
    </row>
    <row r="43"/>
    <row r="44" ht="26" customHeight="1">
      <c r="A44" s="104" t="inlineStr">
        <is>
          <t xml:space="preserve">  TOTAL: 24 itens</t>
        </is>
      </c>
      <c r="B44" s="144" t="n"/>
      <c r="C44" s="144" t="n"/>
      <c r="D44" s="144" t="n"/>
      <c r="E44" s="144" t="n"/>
      <c r="F44" s="145" t="n"/>
      <c r="G44" s="105" t="n"/>
      <c r="H44" s="105" t="n"/>
      <c r="I44" s="105" t="n"/>
      <c r="J44" s="106" t="n">
        <v>49951.32</v>
      </c>
      <c r="K44" s="105" t="n"/>
      <c r="L44" s="105" t="n"/>
      <c r="M44" s="105" t="n"/>
    </row>
    <row r="45"/>
    <row r="46" ht="18" customHeight="1">
      <c r="A46" s="34" t="inlineStr">
        <is>
          <t>MMD Eventos  |  Inventario Inteligente  |  03/04/2026</t>
        </is>
      </c>
    </row>
  </sheetData>
  <autoFilter ref="A4:M4"/>
  <mergeCells count="18">
    <mergeCell ref="A46:M46"/>
    <mergeCell ref="A13:M13"/>
    <mergeCell ref="A1:M1"/>
    <mergeCell ref="A5:M5"/>
    <mergeCell ref="A23:M23"/>
    <mergeCell ref="A27:M27"/>
    <mergeCell ref="A31:M31"/>
    <mergeCell ref="A37:M37"/>
    <mergeCell ref="A44:F44"/>
    <mergeCell ref="A33:M33"/>
    <mergeCell ref="A9:M9"/>
    <mergeCell ref="A18:M18"/>
    <mergeCell ref="A15:M15"/>
    <mergeCell ref="A7:M7"/>
    <mergeCell ref="A25:M25"/>
    <mergeCell ref="A29:M29"/>
    <mergeCell ref="A41:M41"/>
    <mergeCell ref="A2:M2"/>
  </mergeCells>
  <conditionalFormatting sqref="G5:G246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conditionalFormatting sqref="H5:H246">
    <cfRule type="cellIs" priority="8" operator="equal" dxfId="6">
      <formula>"NOVO"</formula>
    </cfRule>
    <cfRule type="cellIs" priority="9" operator="equal" dxfId="7">
      <formula>"SEMI_NOVO"</formula>
    </cfRule>
    <cfRule type="cellIs" priority="10" operator="equal" dxfId="8">
      <formula>"USADO"</formula>
    </cfRule>
    <cfRule type="cellIs" priority="11" operator="equal" dxfId="9">
      <formula>"RECONDICIONADO"</formula>
    </cfRule>
  </conditionalFormatting>
  <conditionalFormatting sqref="I5:I246">
    <cfRule type="expression" priority="12" dxfId="10">
      <formula>I5="★★★★★"</formula>
    </cfRule>
    <cfRule type="expression" priority="13" dxfId="11">
      <formula>I5="★★★★☆"</formula>
    </cfRule>
    <cfRule type="expression" priority="14" dxfId="12">
      <formula>I5="★★★☆☆"</formula>
    </cfRule>
    <cfRule type="expression" priority="15" dxfId="13">
      <formula>I5="★★☆☆☆"</formula>
    </cfRule>
    <cfRule type="expression" priority="16" dxfId="14">
      <formula>I5="★☆☆☆☆"</formula>
    </cfRule>
  </conditionalFormatting>
  <conditionalFormatting sqref="L5:L246">
    <cfRule type="cellIs" priority="17" operator="lessThan" dxfId="0">
      <formula>0.2</formula>
    </cfRule>
    <cfRule type="cellIs" priority="18" operator="between" dxfId="2">
      <formula>0.2</formula>
      <formula>0.4</formula>
    </cfRule>
    <cfRule type="cellIs" priority="19" operator="between" dxfId="15">
      <formula>0.4</formula>
      <formula>0.6</formula>
    </cfRule>
    <cfRule type="cellIs" priority="20" operator="greaterThanOrEqual" dxfId="16">
      <formula>0.6</formula>
    </cfRule>
  </conditionalFormatting>
  <dataValidations count="3">
    <dataValidation sqref="G5:G246" showDropDown="0" showInputMessage="0" showErrorMessage="0" allowBlank="1" errorTitle="Status invalido" error="Selecione um status valido" type="list">
      <formula1>"DISPONIVEL,PACKED,EM_CAMPO,MANUTENCAO,EMPRESTADO,VENDIDO,BAIXA"</formula1>
    </dataValidation>
    <dataValidation sqref="H5:H246" showDropDown="0" showInputMessage="0" showErrorMessage="0" allowBlank="1" type="list">
      <formula1>"NOVO,SEMI_NOVO,USADO,RECONDICIONADO"</formula1>
    </dataValidation>
    <dataValidation sqref="I5:I246" showDropDown="0" showInputMessage="0" showErrorMessage="0" allowBlank="1" type="list">
      <formula1>"★☆☆☆☆,★★☆☆☆,★★★☆☆,★★★★☆,★★★★★"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8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4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4" r:id="rId13"/>
    <hyperlink xmlns:r="http://schemas.openxmlformats.org/officeDocument/2006/relationships" ref="A26" r:id="rId14"/>
    <hyperlink xmlns:r="http://schemas.openxmlformats.org/officeDocument/2006/relationships" ref="A28" r:id="rId15"/>
    <hyperlink xmlns:r="http://schemas.openxmlformats.org/officeDocument/2006/relationships" ref="A30" r:id="rId16"/>
    <hyperlink xmlns:r="http://schemas.openxmlformats.org/officeDocument/2006/relationships" ref="A32" r:id="rId17"/>
    <hyperlink xmlns:r="http://schemas.openxmlformats.org/officeDocument/2006/relationships" ref="A34" r:id="rId18"/>
    <hyperlink xmlns:r="http://schemas.openxmlformats.org/officeDocument/2006/relationships" ref="A35" r:id="rId19"/>
    <hyperlink xmlns:r="http://schemas.openxmlformats.org/officeDocument/2006/relationships" ref="A36" r:id="rId20"/>
    <hyperlink xmlns:r="http://schemas.openxmlformats.org/officeDocument/2006/relationships" ref="A38" r:id="rId21"/>
    <hyperlink xmlns:r="http://schemas.openxmlformats.org/officeDocument/2006/relationships" ref="A39" r:id="rId22"/>
    <hyperlink xmlns:r="http://schemas.openxmlformats.org/officeDocument/2006/relationships" ref="A40" r:id="rId23"/>
    <hyperlink xmlns:r="http://schemas.openxmlformats.org/officeDocument/2006/relationships" ref="A42" r:id="rId24"/>
  </hyperlink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0" customWidth="1" min="4" max="4"/>
    <col width="14" customWidth="1" min="5" max="5"/>
    <col width="16" customWidth="1" min="6" max="6"/>
    <col width="32" customWidth="1" min="7" max="7"/>
  </cols>
  <sheetData>
    <row r="1" ht="28" customHeight="1">
      <c r="A1" s="91" t="inlineStr">
        <is>
          <t>Codigo</t>
        </is>
      </c>
      <c r="B1" s="91" t="inlineStr">
        <is>
          <t>Descricao</t>
        </is>
      </c>
      <c r="C1" s="91" t="inlineStr">
        <is>
          <t>Subcategoria</t>
        </is>
      </c>
      <c r="D1" s="91" t="inlineStr">
        <is>
          <t>Qtd</t>
        </is>
      </c>
      <c r="E1" s="91" t="inlineStr">
        <is>
          <t>Status</t>
        </is>
      </c>
      <c r="F1" s="91" t="inlineStr">
        <is>
          <t>Tag RFID</t>
        </is>
      </c>
      <c r="G1" s="91" t="inlineStr">
        <is>
          <t>QR Code</t>
        </is>
      </c>
    </row>
    <row r="2" ht="22" customHeight="1">
      <c r="A2" s="136" t="inlineStr">
        <is>
          <t>MMD-LOT-001</t>
        </is>
      </c>
      <c r="B2" s="58" t="inlineStr">
        <is>
          <t xml:space="preserve">Lote 7x </t>
        </is>
      </c>
      <c r="C2" s="58" t="inlineStr">
        <is>
          <t>GERAL</t>
        </is>
      </c>
      <c r="D2" s="58" t="n">
        <v>7</v>
      </c>
      <c r="E2" s="58" t="inlineStr">
        <is>
          <t>DISPONIVEL</t>
        </is>
      </c>
      <c r="F2" s="58" t="inlineStr"/>
      <c r="G2" s="58" t="inlineStr">
        <is>
          <t>https://mmd.app/l/MMD-LOT-001</t>
        </is>
      </c>
    </row>
    <row r="3" ht="22" customHeight="1">
      <c r="A3" s="63" t="inlineStr">
        <is>
          <t>MMD-LOT-002</t>
        </is>
      </c>
      <c r="B3" s="53" t="inlineStr">
        <is>
          <t xml:space="preserve">Lote 1x </t>
        </is>
      </c>
      <c r="C3" s="53" t="inlineStr">
        <is>
          <t>USB A USB B</t>
        </is>
      </c>
      <c r="D3" s="53" t="n">
        <v>1</v>
      </c>
      <c r="E3" s="53" t="inlineStr">
        <is>
          <t>DISPONIVEL</t>
        </is>
      </c>
      <c r="F3" s="53" t="inlineStr"/>
      <c r="G3" s="53" t="inlineStr">
        <is>
          <t>https://mmd.app/l/MMD-LOT-002</t>
        </is>
      </c>
    </row>
    <row r="4" ht="22" customHeight="1">
      <c r="A4" s="136" t="inlineStr">
        <is>
          <t>MMD-LOT-003</t>
        </is>
      </c>
      <c r="B4" s="58" t="inlineStr">
        <is>
          <t>Lote 6x CABO AC 1.3M A 1.5M</t>
        </is>
      </c>
      <c r="C4" s="58" t="inlineStr">
        <is>
          <t>AC</t>
        </is>
      </c>
      <c r="D4" s="58" t="n">
        <v>6</v>
      </c>
      <c r="E4" s="58" t="inlineStr">
        <is>
          <t>DISPONIVEL</t>
        </is>
      </c>
      <c r="F4" s="58" t="inlineStr"/>
      <c r="G4" s="58" t="inlineStr">
        <is>
          <t>https://mmd.app/l/MMD-LOT-003</t>
        </is>
      </c>
    </row>
    <row r="5" ht="22" customHeight="1">
      <c r="A5" s="63" t="inlineStr">
        <is>
          <t>MMD-LOT-004</t>
        </is>
      </c>
      <c r="B5" s="53" t="inlineStr">
        <is>
          <t>Lote 1x CABO AC 1.75M</t>
        </is>
      </c>
      <c r="C5" s="53" t="inlineStr">
        <is>
          <t>AC</t>
        </is>
      </c>
      <c r="D5" s="53" t="n">
        <v>1</v>
      </c>
      <c r="E5" s="53" t="inlineStr">
        <is>
          <t>DISPONIVEL</t>
        </is>
      </c>
      <c r="F5" s="53" t="inlineStr"/>
      <c r="G5" s="53" t="inlineStr">
        <is>
          <t>https://mmd.app/l/MMD-LOT-004</t>
        </is>
      </c>
    </row>
    <row r="6" ht="22" customHeight="1">
      <c r="A6" s="136" t="inlineStr">
        <is>
          <t>MMD-LOT-005</t>
        </is>
      </c>
      <c r="B6" s="58" t="inlineStr">
        <is>
          <t>Lote 1x CABO AC 1.8M</t>
        </is>
      </c>
      <c r="C6" s="58" t="inlineStr">
        <is>
          <t>AC</t>
        </is>
      </c>
      <c r="D6" s="58" t="n">
        <v>1</v>
      </c>
      <c r="E6" s="58" t="inlineStr">
        <is>
          <t>DISPONIVEL</t>
        </is>
      </c>
      <c r="F6" s="58" t="inlineStr"/>
      <c r="G6" s="58" t="inlineStr">
        <is>
          <t>https://mmd.app/l/MMD-LOT-005</t>
        </is>
      </c>
    </row>
    <row r="7" ht="22" customHeight="1">
      <c r="A7" s="63" t="inlineStr">
        <is>
          <t>MMD-LOT-006</t>
        </is>
      </c>
      <c r="B7" s="53" t="inlineStr">
        <is>
          <t>Lote 4x CABO AC 1M</t>
        </is>
      </c>
      <c r="C7" s="53" t="inlineStr">
        <is>
          <t>AC</t>
        </is>
      </c>
      <c r="D7" s="53" t="n">
        <v>4</v>
      </c>
      <c r="E7" s="53" t="inlineStr">
        <is>
          <t>DISPONIVEL</t>
        </is>
      </c>
      <c r="F7" s="53" t="inlineStr"/>
      <c r="G7" s="53" t="inlineStr">
        <is>
          <t>https://mmd.app/l/MMD-LOT-006</t>
        </is>
      </c>
    </row>
    <row r="8" ht="22" customHeight="1">
      <c r="A8" s="136" t="inlineStr">
        <is>
          <t>MMD-LOT-007</t>
        </is>
      </c>
      <c r="B8" s="58" t="inlineStr">
        <is>
          <t>Lote 1x CABO AC 3M</t>
        </is>
      </c>
      <c r="C8" s="58" t="inlineStr">
        <is>
          <t>AC</t>
        </is>
      </c>
      <c r="D8" s="58" t="n">
        <v>1</v>
      </c>
      <c r="E8" s="58" t="inlineStr">
        <is>
          <t>DISPONIVEL</t>
        </is>
      </c>
      <c r="F8" s="58" t="inlineStr"/>
      <c r="G8" s="58" t="inlineStr">
        <is>
          <t>https://mmd.app/l/MMD-LOT-007</t>
        </is>
      </c>
    </row>
    <row r="9" ht="22" customHeight="1">
      <c r="A9" s="63" t="inlineStr">
        <is>
          <t>MMD-LOT-008</t>
        </is>
      </c>
      <c r="B9" s="53" t="inlineStr">
        <is>
          <t>Lote 4x CABO AC 4X 60CM</t>
        </is>
      </c>
      <c r="C9" s="53" t="inlineStr">
        <is>
          <t>AC 4X</t>
        </is>
      </c>
      <c r="D9" s="53" t="n">
        <v>4</v>
      </c>
      <c r="E9" s="53" t="inlineStr">
        <is>
          <t>DISPONIVEL</t>
        </is>
      </c>
      <c r="F9" s="53" t="inlineStr"/>
      <c r="G9" s="53" t="inlineStr">
        <is>
          <t>https://mmd.app/l/MMD-LOT-008</t>
        </is>
      </c>
    </row>
    <row r="10" ht="22" customHeight="1">
      <c r="A10" s="136" t="inlineStr">
        <is>
          <t>MMD-LOT-009</t>
        </is>
      </c>
      <c r="B10" s="58" t="inlineStr">
        <is>
          <t>Lote 1x CABO AC 8 1.3M</t>
        </is>
      </c>
      <c r="C10" s="58" t="inlineStr">
        <is>
          <t>AC 8</t>
        </is>
      </c>
      <c r="D10" s="58" t="n">
        <v>1</v>
      </c>
      <c r="E10" s="58" t="inlineStr">
        <is>
          <t>DISPONIVEL</t>
        </is>
      </c>
      <c r="F10" s="58" t="inlineStr"/>
      <c r="G10" s="58" t="inlineStr">
        <is>
          <t>https://mmd.app/l/MMD-LOT-009</t>
        </is>
      </c>
    </row>
    <row r="11" ht="22" customHeight="1">
      <c r="A11" s="63" t="inlineStr">
        <is>
          <t>MMD-LOT-010</t>
        </is>
      </c>
      <c r="B11" s="53" t="inlineStr">
        <is>
          <t>Lote 1x CABO AC 85CM</t>
        </is>
      </c>
      <c r="C11" s="53" t="inlineStr">
        <is>
          <t>AC</t>
        </is>
      </c>
      <c r="D11" s="53" t="n">
        <v>1</v>
      </c>
      <c r="E11" s="53" t="inlineStr">
        <is>
          <t>DISPONIVEL</t>
        </is>
      </c>
      <c r="F11" s="53" t="inlineStr"/>
      <c r="G11" s="53" t="inlineStr">
        <is>
          <t>https://mmd.app/l/MMD-LOT-010</t>
        </is>
      </c>
    </row>
    <row r="12" ht="22" customHeight="1">
      <c r="A12" s="136" t="inlineStr">
        <is>
          <t>MMD-LOT-011</t>
        </is>
      </c>
      <c r="B12" s="58" t="inlineStr">
        <is>
          <t>Lote 1x CABO AC CINZA 5M</t>
        </is>
      </c>
      <c r="C12" s="58" t="inlineStr">
        <is>
          <t>AC</t>
        </is>
      </c>
      <c r="D12" s="58" t="n">
        <v>1</v>
      </c>
      <c r="E12" s="58" t="inlineStr">
        <is>
          <t>DISPONIVEL</t>
        </is>
      </c>
      <c r="F12" s="58" t="inlineStr"/>
      <c r="G12" s="58" t="inlineStr">
        <is>
          <t>https://mmd.app/l/MMD-LOT-011</t>
        </is>
      </c>
    </row>
    <row r="13" ht="22" customHeight="1">
      <c r="A13" s="63" t="inlineStr">
        <is>
          <t>MMD-LOT-012</t>
        </is>
      </c>
      <c r="B13" s="53" t="inlineStr">
        <is>
          <t>Lote 1x CABO ADAPTADOR DIVISOR P10</t>
        </is>
      </c>
      <c r="C13" s="53" t="inlineStr">
        <is>
          <t>ADAPTADOR DIVISOR P10</t>
        </is>
      </c>
      <c r="D13" s="53" t="n">
        <v>1</v>
      </c>
      <c r="E13" s="53" t="inlineStr">
        <is>
          <t>DISPONIVEL</t>
        </is>
      </c>
      <c r="F13" s="53" t="inlineStr"/>
      <c r="G13" s="53" t="inlineStr">
        <is>
          <t>https://mmd.app/l/MMD-LOT-012</t>
        </is>
      </c>
    </row>
    <row r="14" ht="22" customHeight="1">
      <c r="A14" s="136" t="inlineStr">
        <is>
          <t>MMD-LOT-013</t>
        </is>
      </c>
      <c r="B14" s="58" t="inlineStr">
        <is>
          <t>Lote 1x CABO DISPLAY PORT 1.8M</t>
        </is>
      </c>
      <c r="C14" s="58" t="inlineStr">
        <is>
          <t>DISPLAY PORT</t>
        </is>
      </c>
      <c r="D14" s="58" t="n">
        <v>1</v>
      </c>
      <c r="E14" s="58" t="inlineStr">
        <is>
          <t>DISPONIVEL</t>
        </is>
      </c>
      <c r="F14" s="58" t="inlineStr"/>
      <c r="G14" s="58" t="inlineStr">
        <is>
          <t>https://mmd.app/l/MMD-LOT-013</t>
        </is>
      </c>
    </row>
    <row r="15" ht="22" customHeight="1">
      <c r="A15" s="63" t="inlineStr">
        <is>
          <t>MMD-LOT-014</t>
        </is>
      </c>
      <c r="B15" s="53" t="inlineStr">
        <is>
          <t>Lote 1x CABO DISPLAY PORT 3M</t>
        </is>
      </c>
      <c r="C15" s="53" t="inlineStr">
        <is>
          <t>DISPLAY PORT</t>
        </is>
      </c>
      <c r="D15" s="53" t="n">
        <v>1</v>
      </c>
      <c r="E15" s="53" t="inlineStr">
        <is>
          <t>DISPONIVEL</t>
        </is>
      </c>
      <c r="F15" s="53" t="inlineStr"/>
      <c r="G15" s="53" t="inlineStr">
        <is>
          <t>https://mmd.app/l/MMD-LOT-014</t>
        </is>
      </c>
    </row>
    <row r="16" ht="22" customHeight="1">
      <c r="A16" s="136" t="inlineStr">
        <is>
          <t>MMD-LOT-015</t>
        </is>
      </c>
      <c r="B16" s="58" t="inlineStr">
        <is>
          <t>Lote 1x CABO DMX 90CM</t>
        </is>
      </c>
      <c r="C16" s="58" t="inlineStr">
        <is>
          <t>DMX</t>
        </is>
      </c>
      <c r="D16" s="58" t="n">
        <v>1</v>
      </c>
      <c r="E16" s="58" t="inlineStr">
        <is>
          <t>DISPONIVEL</t>
        </is>
      </c>
      <c r="F16" s="58" t="inlineStr"/>
      <c r="G16" s="58" t="inlineStr">
        <is>
          <t>https://mmd.app/l/MMD-LOT-015</t>
        </is>
      </c>
    </row>
    <row r="17" ht="22" customHeight="1">
      <c r="A17" s="63" t="inlineStr">
        <is>
          <t>MMD-LOT-016</t>
        </is>
      </c>
      <c r="B17" s="53" t="inlineStr">
        <is>
          <t>Lote 1x CABO DVI 1.2M</t>
        </is>
      </c>
      <c r="C17" s="53" t="inlineStr">
        <is>
          <t>DVI</t>
        </is>
      </c>
      <c r="D17" s="53" t="n">
        <v>1</v>
      </c>
      <c r="E17" s="53" t="inlineStr">
        <is>
          <t>DISPONIVEL</t>
        </is>
      </c>
      <c r="F17" s="53" t="inlineStr"/>
      <c r="G17" s="53" t="inlineStr">
        <is>
          <t>https://mmd.app/l/MMD-LOT-016</t>
        </is>
      </c>
    </row>
    <row r="18" ht="22" customHeight="1">
      <c r="A18" s="136" t="inlineStr">
        <is>
          <t>MMD-LOT-017</t>
        </is>
      </c>
      <c r="B18" s="58" t="inlineStr">
        <is>
          <t>Lote 1x CABO DVI 1.4M</t>
        </is>
      </c>
      <c r="C18" s="58" t="inlineStr">
        <is>
          <t>DVI</t>
        </is>
      </c>
      <c r="D18" s="58" t="n">
        <v>1</v>
      </c>
      <c r="E18" s="58" t="inlineStr">
        <is>
          <t>DISPONIVEL</t>
        </is>
      </c>
      <c r="F18" s="58" t="inlineStr"/>
      <c r="G18" s="58" t="inlineStr">
        <is>
          <t>https://mmd.app/l/MMD-LOT-017</t>
        </is>
      </c>
    </row>
    <row r="19" ht="22" customHeight="1">
      <c r="A19" s="63" t="inlineStr">
        <is>
          <t>MMD-LOT-018</t>
        </is>
      </c>
      <c r="B19" s="53" t="inlineStr">
        <is>
          <t>Lote 1x CABO DVI HDMI 1.3M</t>
        </is>
      </c>
      <c r="C19" s="53" t="inlineStr">
        <is>
          <t>DVI HDMI</t>
        </is>
      </c>
      <c r="D19" s="53" t="n">
        <v>1</v>
      </c>
      <c r="E19" s="53" t="inlineStr">
        <is>
          <t>DISPONIVEL</t>
        </is>
      </c>
      <c r="F19" s="53" t="inlineStr"/>
      <c r="G19" s="53" t="inlineStr">
        <is>
          <t>https://mmd.app/l/MMD-LOT-018</t>
        </is>
      </c>
    </row>
    <row r="20" ht="22" customHeight="1">
      <c r="A20" s="136" t="inlineStr">
        <is>
          <t>MMD-LOT-019</t>
        </is>
      </c>
      <c r="B20" s="58" t="inlineStr">
        <is>
          <t>Lote 7x CABO EXTENSOR AC 1.8M</t>
        </is>
      </c>
      <c r="C20" s="58" t="inlineStr">
        <is>
          <t>EXT AC</t>
        </is>
      </c>
      <c r="D20" s="58" t="n">
        <v>7</v>
      </c>
      <c r="E20" s="58" t="inlineStr">
        <is>
          <t>DISPONIVEL</t>
        </is>
      </c>
      <c r="F20" s="58" t="inlineStr"/>
      <c r="G20" s="58" t="inlineStr">
        <is>
          <t>https://mmd.app/l/MMD-LOT-019</t>
        </is>
      </c>
    </row>
    <row r="21" ht="22" customHeight="1">
      <c r="A21" s="63" t="inlineStr">
        <is>
          <t>MMD-LOT-020</t>
        </is>
      </c>
      <c r="B21" s="53" t="inlineStr">
        <is>
          <t>Lote 9x CABO EXTENSOR AC 1M</t>
        </is>
      </c>
      <c r="C21" s="53" t="inlineStr">
        <is>
          <t>EXT AC</t>
        </is>
      </c>
      <c r="D21" s="53" t="n">
        <v>9</v>
      </c>
      <c r="E21" s="53" t="inlineStr">
        <is>
          <t>DISPONIVEL</t>
        </is>
      </c>
      <c r="F21" s="53" t="inlineStr"/>
      <c r="G21" s="53" t="inlineStr">
        <is>
          <t>https://mmd.app/l/MMD-LOT-020</t>
        </is>
      </c>
    </row>
    <row r="22" ht="22" customHeight="1">
      <c r="A22" s="136" t="inlineStr">
        <is>
          <t>MMD-LOT-021</t>
        </is>
      </c>
      <c r="B22" s="58" t="inlineStr">
        <is>
          <t>Lote 4x CABO EXTENSOR AC 50CM</t>
        </is>
      </c>
      <c r="C22" s="58" t="inlineStr">
        <is>
          <t>EXT AC</t>
        </is>
      </c>
      <c r="D22" s="58" t="n">
        <v>4</v>
      </c>
      <c r="E22" s="58" t="inlineStr">
        <is>
          <t>DISPONIVEL</t>
        </is>
      </c>
      <c r="F22" s="58" t="inlineStr"/>
      <c r="G22" s="58" t="inlineStr">
        <is>
          <t>https://mmd.app/l/MMD-LOT-021</t>
        </is>
      </c>
    </row>
    <row r="23" ht="22" customHeight="1">
      <c r="A23" s="63" t="inlineStr">
        <is>
          <t>MMD-LOT-022</t>
        </is>
      </c>
      <c r="B23" s="53" t="inlineStr">
        <is>
          <t>Lote 3x CABO HDMI 1.8M</t>
        </is>
      </c>
      <c r="C23" s="53" t="inlineStr">
        <is>
          <t>HDMI</t>
        </is>
      </c>
      <c r="D23" s="53" t="n">
        <v>3</v>
      </c>
      <c r="E23" s="53" t="inlineStr">
        <is>
          <t>DISPONIVEL</t>
        </is>
      </c>
      <c r="F23" s="53" t="inlineStr"/>
      <c r="G23" s="53" t="inlineStr">
        <is>
          <t>https://mmd.app/l/MMD-LOT-022</t>
        </is>
      </c>
    </row>
    <row r="24" ht="22" customHeight="1">
      <c r="A24" s="136" t="inlineStr">
        <is>
          <t>MMD-LOT-023</t>
        </is>
      </c>
      <c r="B24" s="58" t="inlineStr">
        <is>
          <t>Lote 1x CABO HDMI 1M</t>
        </is>
      </c>
      <c r="C24" s="58" t="inlineStr">
        <is>
          <t>HDMI</t>
        </is>
      </c>
      <c r="D24" s="58" t="n">
        <v>1</v>
      </c>
      <c r="E24" s="58" t="inlineStr">
        <is>
          <t>DISPONIVEL</t>
        </is>
      </c>
      <c r="F24" s="58" t="inlineStr"/>
      <c r="G24" s="58" t="inlineStr">
        <is>
          <t>https://mmd.app/l/MMD-LOT-023</t>
        </is>
      </c>
    </row>
    <row r="25" ht="22" customHeight="1">
      <c r="A25" s="63" t="inlineStr">
        <is>
          <t>MMD-LOT-024</t>
        </is>
      </c>
      <c r="B25" s="53" t="inlineStr">
        <is>
          <t>Lote 1x CABO HDMI 2M</t>
        </is>
      </c>
      <c r="C25" s="53" t="inlineStr">
        <is>
          <t>HDMI</t>
        </is>
      </c>
      <c r="D25" s="53" t="n">
        <v>1</v>
      </c>
      <c r="E25" s="53" t="inlineStr">
        <is>
          <t>DISPONIVEL</t>
        </is>
      </c>
      <c r="F25" s="53" t="inlineStr"/>
      <c r="G25" s="53" t="inlineStr">
        <is>
          <t>https://mmd.app/l/MMD-LOT-024</t>
        </is>
      </c>
    </row>
    <row r="26" ht="22" customHeight="1">
      <c r="A26" s="136" t="inlineStr">
        <is>
          <t>MMD-LOT-025</t>
        </is>
      </c>
      <c r="B26" s="58" t="inlineStr">
        <is>
          <t>Lote 1x CABO HDMI 5M</t>
        </is>
      </c>
      <c r="C26" s="58" t="inlineStr">
        <is>
          <t>HDMI</t>
        </is>
      </c>
      <c r="D26" s="58" t="n">
        <v>1</v>
      </c>
      <c r="E26" s="58" t="inlineStr">
        <is>
          <t>DISPONIVEL</t>
        </is>
      </c>
      <c r="F26" s="58" t="inlineStr"/>
      <c r="G26" s="58" t="inlineStr">
        <is>
          <t>https://mmd.app/l/MMD-LOT-025</t>
        </is>
      </c>
    </row>
    <row r="27" ht="22" customHeight="1">
      <c r="A27" s="63" t="inlineStr">
        <is>
          <t>MMD-LOT-026</t>
        </is>
      </c>
      <c r="B27" s="53" t="inlineStr">
        <is>
          <t>Lote 1x CABO HDMI DISPLAY PORT</t>
        </is>
      </c>
      <c r="C27" s="53" t="inlineStr">
        <is>
          <t>HDMI DISPLAY PORT</t>
        </is>
      </c>
      <c r="D27" s="53" t="n">
        <v>1</v>
      </c>
      <c r="E27" s="53" t="inlineStr">
        <is>
          <t>DISPONIVEL</t>
        </is>
      </c>
      <c r="F27" s="53" t="inlineStr"/>
      <c r="G27" s="53" t="inlineStr">
        <is>
          <t>https://mmd.app/l/MMD-LOT-026</t>
        </is>
      </c>
    </row>
    <row r="28" ht="22" customHeight="1">
      <c r="A28" s="136" t="inlineStr">
        <is>
          <t>MMD-LOT-027</t>
        </is>
      </c>
      <c r="B28" s="58" t="inlineStr">
        <is>
          <t>Lote 1x CABO MIDI DIN 1.5M</t>
        </is>
      </c>
      <c r="C28" s="58" t="inlineStr">
        <is>
          <t>MIDI DIN</t>
        </is>
      </c>
      <c r="D28" s="58" t="n">
        <v>1</v>
      </c>
      <c r="E28" s="58" t="inlineStr">
        <is>
          <t>DISPONIVEL</t>
        </is>
      </c>
      <c r="F28" s="58" t="inlineStr"/>
      <c r="G28" s="58" t="inlineStr">
        <is>
          <t>https://mmd.app/l/MMD-LOT-027</t>
        </is>
      </c>
    </row>
    <row r="29" ht="22" customHeight="1">
      <c r="A29" s="63" t="inlineStr">
        <is>
          <t>MMD-LOT-028</t>
        </is>
      </c>
      <c r="B29" s="53" t="inlineStr">
        <is>
          <t>Lote 2x CABO MIDI DIN 3.6M</t>
        </is>
      </c>
      <c r="C29" s="53" t="inlineStr">
        <is>
          <t>MIDI DIN</t>
        </is>
      </c>
      <c r="D29" s="53" t="n">
        <v>2</v>
      </c>
      <c r="E29" s="53" t="inlineStr">
        <is>
          <t>DISPONIVEL</t>
        </is>
      </c>
      <c r="F29" s="53" t="inlineStr"/>
      <c r="G29" s="53" t="inlineStr">
        <is>
          <t>https://mmd.app/l/MMD-LOT-028</t>
        </is>
      </c>
    </row>
    <row r="30" ht="22" customHeight="1">
      <c r="A30" s="136" t="inlineStr">
        <is>
          <t>MMD-LOT-029</t>
        </is>
      </c>
      <c r="B30" s="58" t="inlineStr">
        <is>
          <t>Lote 1x CABO MIDI DIN 3M</t>
        </is>
      </c>
      <c r="C30" s="58" t="inlineStr">
        <is>
          <t>MIDI DIN</t>
        </is>
      </c>
      <c r="D30" s="58" t="n">
        <v>1</v>
      </c>
      <c r="E30" s="58" t="inlineStr">
        <is>
          <t>DISPONIVEL</t>
        </is>
      </c>
      <c r="F30" s="58" t="inlineStr"/>
      <c r="G30" s="58" t="inlineStr">
        <is>
          <t>https://mmd.app/l/MMD-LOT-029</t>
        </is>
      </c>
    </row>
    <row r="31" ht="22" customHeight="1">
      <c r="A31" s="63" t="inlineStr">
        <is>
          <t>MMD-LOT-030</t>
        </is>
      </c>
      <c r="B31" s="53" t="inlineStr">
        <is>
          <t>Lote 1x CABO MINI DISPLAYPORT</t>
        </is>
      </c>
      <c r="C31" s="53" t="inlineStr">
        <is>
          <t>MINI DISPLAYPORT</t>
        </is>
      </c>
      <c r="D31" s="53" t="n">
        <v>1</v>
      </c>
      <c r="E31" s="53" t="inlineStr">
        <is>
          <t>DISPONIVEL</t>
        </is>
      </c>
      <c r="F31" s="53" t="inlineStr"/>
      <c r="G31" s="53" t="inlineStr">
        <is>
          <t>https://mmd.app/l/MMD-LOT-030</t>
        </is>
      </c>
    </row>
    <row r="32" ht="22" customHeight="1">
      <c r="A32" s="136" t="inlineStr">
        <is>
          <t>MMD-LOT-031</t>
        </is>
      </c>
      <c r="B32" s="58" t="inlineStr">
        <is>
          <t>Lote 1x CABO MINI DISPLAYPORT THUNDERBOLT 2M</t>
        </is>
      </c>
      <c r="C32" s="58" t="inlineStr">
        <is>
          <t>MINI DISPLAYPORT</t>
        </is>
      </c>
      <c r="D32" s="58" t="n">
        <v>1</v>
      </c>
      <c r="E32" s="58" t="inlineStr">
        <is>
          <t>DISPONIVEL</t>
        </is>
      </c>
      <c r="F32" s="58" t="inlineStr"/>
      <c r="G32" s="58" t="inlineStr">
        <is>
          <t>https://mmd.app/l/MMD-LOT-031</t>
        </is>
      </c>
    </row>
    <row r="33" ht="22" customHeight="1">
      <c r="A33" s="63" t="inlineStr">
        <is>
          <t>MMD-LOT-032</t>
        </is>
      </c>
      <c r="B33" s="53" t="inlineStr">
        <is>
          <t>Lote 1x CABO MINI DPPORT P DPPORT</t>
        </is>
      </c>
      <c r="C33" s="53" t="inlineStr">
        <is>
          <t>MINI DPPORT P DPPORT</t>
        </is>
      </c>
      <c r="D33" s="53" t="n">
        <v>1</v>
      </c>
      <c r="E33" s="53" t="inlineStr">
        <is>
          <t>DISPONIVEL</t>
        </is>
      </c>
      <c r="F33" s="53" t="inlineStr"/>
      <c r="G33" s="53" t="inlineStr">
        <is>
          <t>https://mmd.app/l/MMD-LOT-032</t>
        </is>
      </c>
    </row>
    <row r="34" ht="22" customHeight="1">
      <c r="A34" s="136" t="inlineStr">
        <is>
          <t>MMD-LOT-033</t>
        </is>
      </c>
      <c r="B34" s="58" t="inlineStr">
        <is>
          <t>Lote 1x CABO P10 P10 7M</t>
        </is>
      </c>
      <c r="C34" s="58" t="inlineStr">
        <is>
          <t>P10 P10</t>
        </is>
      </c>
      <c r="D34" s="58" t="n">
        <v>1</v>
      </c>
      <c r="E34" s="58" t="inlineStr">
        <is>
          <t>DISPONIVEL</t>
        </is>
      </c>
      <c r="F34" s="58" t="inlineStr"/>
      <c r="G34" s="58" t="inlineStr">
        <is>
          <t>https://mmd.app/l/MMD-LOT-033</t>
        </is>
      </c>
    </row>
    <row r="35" ht="22" customHeight="1">
      <c r="A35" s="63" t="inlineStr">
        <is>
          <t>MMD-LOT-034</t>
        </is>
      </c>
      <c r="B35" s="53" t="inlineStr">
        <is>
          <t>Lote 2x CABO P10 P2 1M</t>
        </is>
      </c>
      <c r="C35" s="53" t="inlineStr">
        <is>
          <t>P10 P2</t>
        </is>
      </c>
      <c r="D35" s="53" t="n">
        <v>2</v>
      </c>
      <c r="E35" s="53" t="inlineStr">
        <is>
          <t>DISPONIVEL</t>
        </is>
      </c>
      <c r="F35" s="53" t="inlineStr"/>
      <c r="G35" s="53" t="inlineStr">
        <is>
          <t>https://mmd.app/l/MMD-LOT-034</t>
        </is>
      </c>
    </row>
    <row r="36" ht="22" customHeight="1">
      <c r="A36" s="136" t="inlineStr">
        <is>
          <t>MMD-LOT-035</t>
        </is>
      </c>
      <c r="B36" s="58" t="inlineStr">
        <is>
          <t>Lote 7x CABO P10 P2 3M</t>
        </is>
      </c>
      <c r="C36" s="58" t="inlineStr">
        <is>
          <t>P10 P2</t>
        </is>
      </c>
      <c r="D36" s="58" t="n">
        <v>7</v>
      </c>
      <c r="E36" s="58" t="inlineStr">
        <is>
          <t>DISPONIVEL</t>
        </is>
      </c>
      <c r="F36" s="58" t="inlineStr"/>
      <c r="G36" s="58" t="inlineStr">
        <is>
          <t>https://mmd.app/l/MMD-LOT-035</t>
        </is>
      </c>
    </row>
    <row r="37" ht="22" customHeight="1">
      <c r="A37" s="63" t="inlineStr">
        <is>
          <t>MMD-LOT-036</t>
        </is>
      </c>
      <c r="B37" s="53" t="inlineStr">
        <is>
          <t>Lote 1x CABO P2 P2 1.4M</t>
        </is>
      </c>
      <c r="C37" s="53" t="inlineStr">
        <is>
          <t>P2 P2</t>
        </is>
      </c>
      <c r="D37" s="53" t="n">
        <v>1</v>
      </c>
      <c r="E37" s="53" t="inlineStr">
        <is>
          <t>DISPONIVEL</t>
        </is>
      </c>
      <c r="F37" s="53" t="inlineStr"/>
      <c r="G37" s="53" t="inlineStr">
        <is>
          <t>https://mmd.app/l/MMD-LOT-036</t>
        </is>
      </c>
    </row>
    <row r="38" ht="22" customHeight="1">
      <c r="A38" s="136" t="inlineStr">
        <is>
          <t>MMD-LOT-037</t>
        </is>
      </c>
      <c r="B38" s="58" t="inlineStr">
        <is>
          <t>Lote 1x CABO P2 P2 1M</t>
        </is>
      </c>
      <c r="C38" s="58" t="inlineStr">
        <is>
          <t>P2 P2</t>
        </is>
      </c>
      <c r="D38" s="58" t="n">
        <v>1</v>
      </c>
      <c r="E38" s="58" t="inlineStr">
        <is>
          <t>DISPONIVEL</t>
        </is>
      </c>
      <c r="F38" s="58" t="inlineStr"/>
      <c r="G38" s="58" t="inlineStr">
        <is>
          <t>https://mmd.app/l/MMD-LOT-037</t>
        </is>
      </c>
    </row>
    <row r="39" ht="22" customHeight="1">
      <c r="A39" s="63" t="inlineStr">
        <is>
          <t>MMD-LOT-038</t>
        </is>
      </c>
      <c r="B39" s="53" t="inlineStr">
        <is>
          <t>Lote 1x CABO P2 USB A 1M</t>
        </is>
      </c>
      <c r="C39" s="53" t="inlineStr">
        <is>
          <t>P2 USB A</t>
        </is>
      </c>
      <c r="D39" s="53" t="n">
        <v>1</v>
      </c>
      <c r="E39" s="53" t="inlineStr">
        <is>
          <t>DISPONIVEL</t>
        </is>
      </c>
      <c r="F39" s="53" t="inlineStr"/>
      <c r="G39" s="53" t="inlineStr">
        <is>
          <t>https://mmd.app/l/MMD-LOT-038</t>
        </is>
      </c>
    </row>
    <row r="40" ht="22" customHeight="1">
      <c r="A40" s="136" t="inlineStr">
        <is>
          <t>MMD-LOT-039</t>
        </is>
      </c>
      <c r="B40" s="58" t="inlineStr">
        <is>
          <t>Lote 1x CABO PARALELO 1M</t>
        </is>
      </c>
      <c r="C40" s="58" t="inlineStr">
        <is>
          <t>PARALELO</t>
        </is>
      </c>
      <c r="D40" s="58" t="n">
        <v>1</v>
      </c>
      <c r="E40" s="58" t="inlineStr">
        <is>
          <t>DISPONIVEL</t>
        </is>
      </c>
      <c r="F40" s="58" t="inlineStr"/>
      <c r="G40" s="58" t="inlineStr">
        <is>
          <t>https://mmd.app/l/MMD-LOT-039</t>
        </is>
      </c>
    </row>
    <row r="41" ht="22" customHeight="1">
      <c r="A41" s="63" t="inlineStr">
        <is>
          <t>MMD-LOT-040</t>
        </is>
      </c>
      <c r="B41" s="53" t="inlineStr">
        <is>
          <t>Lote 24x CABO PARALELO 50CM</t>
        </is>
      </c>
      <c r="C41" s="53" t="inlineStr">
        <is>
          <t>PARALELO</t>
        </is>
      </c>
      <c r="D41" s="53" t="n">
        <v>24</v>
      </c>
      <c r="E41" s="53" t="inlineStr">
        <is>
          <t>DISPONIVEL</t>
        </is>
      </c>
      <c r="F41" s="53" t="inlineStr"/>
      <c r="G41" s="53" t="inlineStr">
        <is>
          <t>https://mmd.app/l/MMD-LOT-040</t>
        </is>
      </c>
    </row>
    <row r="42" ht="22" customHeight="1">
      <c r="A42" s="136" t="inlineStr">
        <is>
          <t>MMD-LOT-041</t>
        </is>
      </c>
      <c r="B42" s="58" t="inlineStr">
        <is>
          <t>Lote 1x CABO POWERCON 1.1M</t>
        </is>
      </c>
      <c r="C42" s="58" t="inlineStr">
        <is>
          <t>POWERCON AC</t>
        </is>
      </c>
      <c r="D42" s="58" t="n">
        <v>1</v>
      </c>
      <c r="E42" s="58" t="inlineStr">
        <is>
          <t>DISPONIVEL</t>
        </is>
      </c>
      <c r="F42" s="58" t="inlineStr"/>
      <c r="G42" s="58" t="inlineStr">
        <is>
          <t>https://mmd.app/l/MMD-LOT-041</t>
        </is>
      </c>
    </row>
    <row r="43" ht="22" customHeight="1">
      <c r="A43" s="63" t="inlineStr">
        <is>
          <t>MMD-LOT-042</t>
        </is>
      </c>
      <c r="B43" s="53" t="inlineStr">
        <is>
          <t>Lote 3x CABO POWERCON 1.7M</t>
        </is>
      </c>
      <c r="C43" s="53" t="inlineStr">
        <is>
          <t>POWERCON AC</t>
        </is>
      </c>
      <c r="D43" s="53" t="n">
        <v>3</v>
      </c>
      <c r="E43" s="53" t="inlineStr">
        <is>
          <t>DISPONIVEL</t>
        </is>
      </c>
      <c r="F43" s="53" t="inlineStr"/>
      <c r="G43" s="53" t="inlineStr">
        <is>
          <t>https://mmd.app/l/MMD-LOT-042</t>
        </is>
      </c>
    </row>
    <row r="44" ht="22" customHeight="1">
      <c r="A44" s="136" t="inlineStr">
        <is>
          <t>MMD-LOT-043</t>
        </is>
      </c>
      <c r="B44" s="58" t="inlineStr">
        <is>
          <t>Lote 1x CABO POWERCON PIAL 2.5M</t>
        </is>
      </c>
      <c r="C44" s="58" t="inlineStr">
        <is>
          <t>POWERCON PIAL</t>
        </is>
      </c>
      <c r="D44" s="58" t="n">
        <v>1</v>
      </c>
      <c r="E44" s="58" t="inlineStr">
        <is>
          <t>DISPONIVEL</t>
        </is>
      </c>
      <c r="F44" s="58" t="inlineStr"/>
      <c r="G44" s="58" t="inlineStr">
        <is>
          <t>https://mmd.app/l/MMD-LOT-043</t>
        </is>
      </c>
    </row>
    <row r="45" ht="22" customHeight="1">
      <c r="A45" s="63" t="inlineStr">
        <is>
          <t>MMD-LOT-044</t>
        </is>
      </c>
      <c r="B45" s="53" t="inlineStr">
        <is>
          <t>Lote 1x CABO POWERCON PIAL 2M</t>
        </is>
      </c>
      <c r="C45" s="53" t="inlineStr">
        <is>
          <t>POWERCON PIAL</t>
        </is>
      </c>
      <c r="D45" s="53" t="n">
        <v>1</v>
      </c>
      <c r="E45" s="53" t="inlineStr">
        <is>
          <t>DISPONIVEL</t>
        </is>
      </c>
      <c r="F45" s="53" t="inlineStr"/>
      <c r="G45" s="53" t="inlineStr">
        <is>
          <t>https://mmd.app/l/MMD-LOT-044</t>
        </is>
      </c>
    </row>
    <row r="46" ht="22" customHeight="1">
      <c r="A46" s="136" t="inlineStr">
        <is>
          <t>MMD-LOT-045</t>
        </is>
      </c>
      <c r="B46" s="58" t="inlineStr">
        <is>
          <t>Lote 2x CABO RCA P10 90CM</t>
        </is>
      </c>
      <c r="C46" s="58" t="inlineStr">
        <is>
          <t>RCA P10</t>
        </is>
      </c>
      <c r="D46" s="58" t="n">
        <v>2</v>
      </c>
      <c r="E46" s="58" t="inlineStr">
        <is>
          <t>DISPONIVEL</t>
        </is>
      </c>
      <c r="F46" s="58" t="inlineStr"/>
      <c r="G46" s="58" t="inlineStr">
        <is>
          <t>https://mmd.app/l/MMD-LOT-045</t>
        </is>
      </c>
    </row>
    <row r="47" ht="22" customHeight="1">
      <c r="A47" s="63" t="inlineStr">
        <is>
          <t>MMD-LOT-046</t>
        </is>
      </c>
      <c r="B47" s="53" t="inlineStr">
        <is>
          <t>Lote 1x CABO RCA P2 5M</t>
        </is>
      </c>
      <c r="C47" s="53" t="inlineStr">
        <is>
          <t>RCA P2</t>
        </is>
      </c>
      <c r="D47" s="53" t="n">
        <v>1</v>
      </c>
      <c r="E47" s="53" t="inlineStr">
        <is>
          <t>DISPONIVEL</t>
        </is>
      </c>
      <c r="F47" s="53" t="inlineStr"/>
      <c r="G47" s="53" t="inlineStr">
        <is>
          <t>https://mmd.app/l/MMD-LOT-046</t>
        </is>
      </c>
    </row>
    <row r="48" ht="22" customHeight="1">
      <c r="A48" s="136" t="inlineStr">
        <is>
          <t>MMD-LOT-047</t>
        </is>
      </c>
      <c r="B48" s="58" t="inlineStr">
        <is>
          <t>Lote 1x CABO RCA XLRm 90CM</t>
        </is>
      </c>
      <c r="C48" s="58" t="inlineStr">
        <is>
          <t>XLRM RCA</t>
        </is>
      </c>
      <c r="D48" s="58" t="n">
        <v>1</v>
      </c>
      <c r="E48" s="58" t="inlineStr">
        <is>
          <t>DISPONIVEL</t>
        </is>
      </c>
      <c r="F48" s="58" t="inlineStr"/>
      <c r="G48" s="58" t="inlineStr">
        <is>
          <t>https://mmd.app/l/MMD-LOT-047</t>
        </is>
      </c>
    </row>
    <row r="49" ht="22" customHeight="1">
      <c r="A49" s="63" t="inlineStr">
        <is>
          <t>MMD-LOT-048</t>
        </is>
      </c>
      <c r="B49" s="53" t="inlineStr">
        <is>
          <t>Lote 1x CABO SPEAK ON 12M</t>
        </is>
      </c>
      <c r="C49" s="53" t="inlineStr">
        <is>
          <t>SPEAK ON</t>
        </is>
      </c>
      <c r="D49" s="53" t="n">
        <v>1</v>
      </c>
      <c r="E49" s="53" t="inlineStr">
        <is>
          <t>DISPONIVEL</t>
        </is>
      </c>
      <c r="F49" s="53" t="inlineStr"/>
      <c r="G49" s="53" t="inlineStr">
        <is>
          <t>https://mmd.app/l/MMD-LOT-048</t>
        </is>
      </c>
    </row>
    <row r="50" ht="22" customHeight="1">
      <c r="A50" s="136" t="inlineStr">
        <is>
          <t>MMD-LOT-049</t>
        </is>
      </c>
      <c r="B50" s="58" t="inlineStr">
        <is>
          <t>Lote 1x CABO USB A USB B 1M</t>
        </is>
      </c>
      <c r="C50" s="58" t="inlineStr">
        <is>
          <t>USB A USB B</t>
        </is>
      </c>
      <c r="D50" s="58" t="n">
        <v>1</v>
      </c>
      <c r="E50" s="58" t="inlineStr">
        <is>
          <t>DISPONIVEL</t>
        </is>
      </c>
      <c r="F50" s="58" t="inlineStr"/>
      <c r="G50" s="58" t="inlineStr">
        <is>
          <t>https://mmd.app/l/MMD-LOT-049</t>
        </is>
      </c>
    </row>
    <row r="51" ht="22" customHeight="1">
      <c r="A51" s="63" t="inlineStr">
        <is>
          <t>MMD-LOT-050</t>
        </is>
      </c>
      <c r="B51" s="53" t="inlineStr">
        <is>
          <t>Lote 1x CABO USB A USB C</t>
        </is>
      </c>
      <c r="C51" s="53" t="inlineStr">
        <is>
          <t>USB A USB C</t>
        </is>
      </c>
      <c r="D51" s="53" t="n">
        <v>1</v>
      </c>
      <c r="E51" s="53" t="inlineStr">
        <is>
          <t>DISPONIVEL</t>
        </is>
      </c>
      <c r="F51" s="53" t="inlineStr"/>
      <c r="G51" s="53" t="inlineStr">
        <is>
          <t>https://mmd.app/l/MMD-LOT-050</t>
        </is>
      </c>
    </row>
    <row r="52" ht="22" customHeight="1">
      <c r="A52" s="136" t="inlineStr">
        <is>
          <t>MMD-LOT-051</t>
        </is>
      </c>
      <c r="B52" s="58" t="inlineStr">
        <is>
          <t>Lote 1x CABO USB A USB C 1M</t>
        </is>
      </c>
      <c r="C52" s="58" t="inlineStr">
        <is>
          <t>USB A USB C</t>
        </is>
      </c>
      <c r="D52" s="58" t="n">
        <v>1</v>
      </c>
      <c r="E52" s="58" t="inlineStr">
        <is>
          <t>DISPONIVEL</t>
        </is>
      </c>
      <c r="F52" s="58" t="inlineStr"/>
      <c r="G52" s="58" t="inlineStr">
        <is>
          <t>https://mmd.app/l/MMD-LOT-051</t>
        </is>
      </c>
    </row>
    <row r="53" ht="22" customHeight="1">
      <c r="A53" s="63" t="inlineStr">
        <is>
          <t>MMD-LOT-052</t>
        </is>
      </c>
      <c r="B53" s="53" t="inlineStr">
        <is>
          <t>Lote 1x CABO USB A USB C 9M</t>
        </is>
      </c>
      <c r="C53" s="53" t="inlineStr">
        <is>
          <t>USB A USB C</t>
        </is>
      </c>
      <c r="D53" s="53" t="n">
        <v>1</v>
      </c>
      <c r="E53" s="53" t="inlineStr">
        <is>
          <t>DISPONIVEL</t>
        </is>
      </c>
      <c r="F53" s="53" t="inlineStr"/>
      <c r="G53" s="53" t="inlineStr">
        <is>
          <t>https://mmd.app/l/MMD-LOT-052</t>
        </is>
      </c>
    </row>
    <row r="54" ht="22" customHeight="1">
      <c r="A54" s="136" t="inlineStr">
        <is>
          <t>MMD-LOT-053</t>
        </is>
      </c>
      <c r="B54" s="58" t="inlineStr">
        <is>
          <t>Lote 1x CABO USB A USB C BRANCO</t>
        </is>
      </c>
      <c r="C54" s="58" t="inlineStr">
        <is>
          <t>USB A USB C</t>
        </is>
      </c>
      <c r="D54" s="58" t="n">
        <v>1</v>
      </c>
      <c r="E54" s="58" t="inlineStr">
        <is>
          <t>DISPONIVEL</t>
        </is>
      </c>
      <c r="F54" s="58" t="inlineStr"/>
      <c r="G54" s="58" t="inlineStr">
        <is>
          <t>https://mmd.app/l/MMD-LOT-053</t>
        </is>
      </c>
    </row>
    <row r="55" ht="22" customHeight="1">
      <c r="A55" s="63" t="inlineStr">
        <is>
          <t>MMD-LOT-054</t>
        </is>
      </c>
      <c r="B55" s="53" t="inlineStr">
        <is>
          <t>Lote 2x CABO USB B USB A 1.4M</t>
        </is>
      </c>
      <c r="C55" s="53" t="inlineStr">
        <is>
          <t>USB B USB A</t>
        </is>
      </c>
      <c r="D55" s="53" t="n">
        <v>2</v>
      </c>
      <c r="E55" s="53" t="inlineStr">
        <is>
          <t>DISPONIVEL</t>
        </is>
      </c>
      <c r="F55" s="53" t="inlineStr"/>
      <c r="G55" s="53" t="inlineStr">
        <is>
          <t>https://mmd.app/l/MMD-LOT-054</t>
        </is>
      </c>
    </row>
    <row r="56" ht="22" customHeight="1">
      <c r="A56" s="136" t="inlineStr">
        <is>
          <t>MMD-LOT-055</t>
        </is>
      </c>
      <c r="B56" s="58" t="inlineStr">
        <is>
          <t>Lote 2x CABO USB B USB A 1.6M</t>
        </is>
      </c>
      <c r="C56" s="58" t="inlineStr">
        <is>
          <t>USB B USB A</t>
        </is>
      </c>
      <c r="D56" s="58" t="n">
        <v>2</v>
      </c>
      <c r="E56" s="58" t="inlineStr">
        <is>
          <t>DISPONIVEL</t>
        </is>
      </c>
      <c r="F56" s="58" t="inlineStr"/>
      <c r="G56" s="58" t="inlineStr">
        <is>
          <t>https://mmd.app/l/MMD-LOT-055</t>
        </is>
      </c>
    </row>
    <row r="57" ht="22" customHeight="1">
      <c r="A57" s="63" t="inlineStr">
        <is>
          <t>MMD-LOT-056</t>
        </is>
      </c>
      <c r="B57" s="53" t="inlineStr">
        <is>
          <t>Lote 1x CABO USB B USB A 1.8M</t>
        </is>
      </c>
      <c r="C57" s="53" t="inlineStr">
        <is>
          <t>USB B USB A</t>
        </is>
      </c>
      <c r="D57" s="53" t="n">
        <v>1</v>
      </c>
      <c r="E57" s="53" t="inlineStr">
        <is>
          <t>DISPONIVEL</t>
        </is>
      </c>
      <c r="F57" s="53" t="inlineStr"/>
      <c r="G57" s="53" t="inlineStr">
        <is>
          <t>https://mmd.app/l/MMD-LOT-056</t>
        </is>
      </c>
    </row>
    <row r="58" ht="22" customHeight="1">
      <c r="A58" s="136" t="inlineStr">
        <is>
          <t>MMD-LOT-057</t>
        </is>
      </c>
      <c r="B58" s="58" t="inlineStr">
        <is>
          <t>Lote 1x CABO USB B USB A 1M</t>
        </is>
      </c>
      <c r="C58" s="58" t="inlineStr">
        <is>
          <t>USB B USB A</t>
        </is>
      </c>
      <c r="D58" s="58" t="n">
        <v>1</v>
      </c>
      <c r="E58" s="58" t="inlineStr">
        <is>
          <t>DISPONIVEL</t>
        </is>
      </c>
      <c r="F58" s="58" t="inlineStr"/>
      <c r="G58" s="58" t="inlineStr">
        <is>
          <t>https://mmd.app/l/MMD-LOT-057</t>
        </is>
      </c>
    </row>
    <row r="59" ht="22" customHeight="1">
      <c r="A59" s="63" t="inlineStr">
        <is>
          <t>MMD-LOT-058</t>
        </is>
      </c>
      <c r="B59" s="53" t="inlineStr">
        <is>
          <t>Lote 1x CABO USB B USB A 3M</t>
        </is>
      </c>
      <c r="C59" s="53" t="inlineStr">
        <is>
          <t>USB B USB A</t>
        </is>
      </c>
      <c r="D59" s="53" t="n">
        <v>1</v>
      </c>
      <c r="E59" s="53" t="inlineStr">
        <is>
          <t>DISPONIVEL</t>
        </is>
      </c>
      <c r="F59" s="53" t="inlineStr"/>
      <c r="G59" s="53" t="inlineStr">
        <is>
          <t>https://mmd.app/l/MMD-LOT-058</t>
        </is>
      </c>
    </row>
    <row r="60" ht="22" customHeight="1">
      <c r="A60" s="136" t="inlineStr">
        <is>
          <t>MMD-LOT-059</t>
        </is>
      </c>
      <c r="B60" s="58" t="inlineStr">
        <is>
          <t>Lote 1x CABO USB B USB A 5M</t>
        </is>
      </c>
      <c r="C60" s="58" t="inlineStr">
        <is>
          <t>USB B USB A</t>
        </is>
      </c>
      <c r="D60" s="58" t="n">
        <v>1</v>
      </c>
      <c r="E60" s="58" t="inlineStr">
        <is>
          <t>DISPONIVEL</t>
        </is>
      </c>
      <c r="F60" s="58" t="inlineStr"/>
      <c r="G60" s="58" t="inlineStr">
        <is>
          <t>https://mmd.app/l/MMD-LOT-059</t>
        </is>
      </c>
    </row>
    <row r="61" ht="22" customHeight="1">
      <c r="A61" s="63" t="inlineStr">
        <is>
          <t>MMD-LOT-060</t>
        </is>
      </c>
      <c r="B61" s="53" t="inlineStr">
        <is>
          <t>Lote 1x CABO USB B USB A 90CM</t>
        </is>
      </c>
      <c r="C61" s="53" t="inlineStr">
        <is>
          <t>USB B USB A</t>
        </is>
      </c>
      <c r="D61" s="53" t="n">
        <v>1</v>
      </c>
      <c r="E61" s="53" t="inlineStr">
        <is>
          <t>DISPONIVEL</t>
        </is>
      </c>
      <c r="F61" s="53" t="inlineStr"/>
      <c r="G61" s="53" t="inlineStr">
        <is>
          <t>https://mmd.app/l/MMD-LOT-060</t>
        </is>
      </c>
    </row>
    <row r="62" ht="22" customHeight="1">
      <c r="A62" s="136" t="inlineStr">
        <is>
          <t>MMD-LOT-061</t>
        </is>
      </c>
      <c r="B62" s="58" t="inlineStr">
        <is>
          <t>Lote 3x CABO USB B USB C</t>
        </is>
      </c>
      <c r="C62" s="58" t="inlineStr">
        <is>
          <t>USB B USB C</t>
        </is>
      </c>
      <c r="D62" s="58" t="n">
        <v>3</v>
      </c>
      <c r="E62" s="58" t="inlineStr">
        <is>
          <t>DISPONIVEL</t>
        </is>
      </c>
      <c r="F62" s="58" t="inlineStr"/>
      <c r="G62" s="58" t="inlineStr">
        <is>
          <t>https://mmd.app/l/MMD-LOT-061</t>
        </is>
      </c>
    </row>
    <row r="63" ht="22" customHeight="1">
      <c r="A63" s="63" t="inlineStr">
        <is>
          <t>MMD-LOT-062</t>
        </is>
      </c>
      <c r="B63" s="53" t="inlineStr">
        <is>
          <t>Lote 1x CABO VGA 1.3M</t>
        </is>
      </c>
      <c r="C63" s="53" t="inlineStr">
        <is>
          <t>VGA</t>
        </is>
      </c>
      <c r="D63" s="53" t="n">
        <v>1</v>
      </c>
      <c r="E63" s="53" t="inlineStr">
        <is>
          <t>DISPONIVEL</t>
        </is>
      </c>
      <c r="F63" s="53" t="inlineStr"/>
      <c r="G63" s="53" t="inlineStr">
        <is>
          <t>https://mmd.app/l/MMD-LOT-062</t>
        </is>
      </c>
    </row>
    <row r="64" ht="22" customHeight="1">
      <c r="A64" s="136" t="inlineStr">
        <is>
          <t>MMD-LOT-063</t>
        </is>
      </c>
      <c r="B64" s="58" t="inlineStr">
        <is>
          <t>Lote 1x CABO VGA 1.4M</t>
        </is>
      </c>
      <c r="C64" s="58" t="inlineStr">
        <is>
          <t>VGA</t>
        </is>
      </c>
      <c r="D64" s="58" t="n">
        <v>1</v>
      </c>
      <c r="E64" s="58" t="inlineStr">
        <is>
          <t>DISPONIVEL</t>
        </is>
      </c>
      <c r="F64" s="58" t="inlineStr"/>
      <c r="G64" s="58" t="inlineStr">
        <is>
          <t>https://mmd.app/l/MMD-LOT-063</t>
        </is>
      </c>
    </row>
    <row r="65" ht="22" customHeight="1">
      <c r="A65" s="63" t="inlineStr">
        <is>
          <t>MMD-LOT-064</t>
        </is>
      </c>
      <c r="B65" s="53" t="inlineStr">
        <is>
          <t>Lote 1x CABO XLR P2 2M</t>
        </is>
      </c>
      <c r="C65" s="53" t="inlineStr">
        <is>
          <t>XLR P2</t>
        </is>
      </c>
      <c r="D65" s="53" t="n">
        <v>1</v>
      </c>
      <c r="E65" s="53" t="inlineStr">
        <is>
          <t>DISPONIVEL</t>
        </is>
      </c>
      <c r="F65" s="53" t="inlineStr"/>
      <c r="G65" s="53" t="inlineStr">
        <is>
          <t>https://mmd.app/l/MMD-LOT-064</t>
        </is>
      </c>
    </row>
    <row r="66" ht="22" customHeight="1">
      <c r="A66" s="136" t="inlineStr">
        <is>
          <t>MMD-LOT-065</t>
        </is>
      </c>
      <c r="B66" s="58" t="inlineStr">
        <is>
          <t>Lote 1x CABO XLR USB C 3M</t>
        </is>
      </c>
      <c r="C66" s="58" t="inlineStr">
        <is>
          <t>XLR USB C</t>
        </is>
      </c>
      <c r="D66" s="58" t="n">
        <v>1</v>
      </c>
      <c r="E66" s="58" t="inlineStr">
        <is>
          <t>DISPONIVEL</t>
        </is>
      </c>
      <c r="F66" s="58" t="inlineStr"/>
      <c r="G66" s="58" t="inlineStr">
        <is>
          <t>https://mmd.app/l/MMD-LOT-065</t>
        </is>
      </c>
    </row>
    <row r="67" ht="22" customHeight="1">
      <c r="A67" s="63" t="inlineStr">
        <is>
          <t>MMD-LOT-066</t>
        </is>
      </c>
      <c r="B67" s="53" t="inlineStr">
        <is>
          <t>Lote 2x CABO XLR XLR</t>
        </is>
      </c>
      <c r="C67" s="53" t="inlineStr">
        <is>
          <t>XLR</t>
        </is>
      </c>
      <c r="D67" s="53" t="n">
        <v>2</v>
      </c>
      <c r="E67" s="53" t="inlineStr">
        <is>
          <t>DISPONIVEL</t>
        </is>
      </c>
      <c r="F67" s="53" t="inlineStr"/>
      <c r="G67" s="53" t="inlineStr">
        <is>
          <t>https://mmd.app/l/MMD-LOT-066</t>
        </is>
      </c>
    </row>
    <row r="68" ht="22" customHeight="1">
      <c r="A68" s="136" t="inlineStr">
        <is>
          <t>MMD-LOT-067</t>
        </is>
      </c>
      <c r="B68" s="58" t="inlineStr">
        <is>
          <t>Lote 1x CABO XLR XLR 1.3M</t>
        </is>
      </c>
      <c r="C68" s="58" t="inlineStr">
        <is>
          <t>XLR</t>
        </is>
      </c>
      <c r="D68" s="58" t="n">
        <v>1</v>
      </c>
      <c r="E68" s="58" t="inlineStr">
        <is>
          <t>DISPONIVEL</t>
        </is>
      </c>
      <c r="F68" s="58" t="inlineStr"/>
      <c r="G68" s="58" t="inlineStr">
        <is>
          <t>https://mmd.app/l/MMD-LOT-067</t>
        </is>
      </c>
    </row>
    <row r="69" ht="22" customHeight="1">
      <c r="A69" s="63" t="inlineStr">
        <is>
          <t>MMD-LOT-068</t>
        </is>
      </c>
      <c r="B69" s="53" t="inlineStr">
        <is>
          <t>Lote 1x CABO XLR XLR 3M</t>
        </is>
      </c>
      <c r="C69" s="53" t="inlineStr">
        <is>
          <t>XLR</t>
        </is>
      </c>
      <c r="D69" s="53" t="n">
        <v>1</v>
      </c>
      <c r="E69" s="53" t="inlineStr">
        <is>
          <t>DISPONIVEL</t>
        </is>
      </c>
      <c r="F69" s="53" t="inlineStr"/>
      <c r="G69" s="53" t="inlineStr">
        <is>
          <t>https://mmd.app/l/MMD-LOT-068</t>
        </is>
      </c>
    </row>
    <row r="70" ht="22" customHeight="1">
      <c r="A70" s="136" t="inlineStr">
        <is>
          <t>MMD-LOT-069</t>
        </is>
      </c>
      <c r="B70" s="58" t="inlineStr">
        <is>
          <t>Lote 1x CABO XLR XLR 4.8</t>
        </is>
      </c>
      <c r="C70" s="58" t="inlineStr">
        <is>
          <t>XLR</t>
        </is>
      </c>
      <c r="D70" s="58" t="n">
        <v>1</v>
      </c>
      <c r="E70" s="58" t="inlineStr">
        <is>
          <t>DISPONIVEL</t>
        </is>
      </c>
      <c r="F70" s="58" t="inlineStr"/>
      <c r="G70" s="58" t="inlineStr">
        <is>
          <t>https://mmd.app/l/MMD-LOT-069</t>
        </is>
      </c>
    </row>
    <row r="71" ht="22" customHeight="1">
      <c r="A71" s="63" t="inlineStr">
        <is>
          <t>MMD-LOT-070</t>
        </is>
      </c>
      <c r="B71" s="53" t="inlineStr">
        <is>
          <t>Lote 1x CABO XLRm P10 10M</t>
        </is>
      </c>
      <c r="C71" s="53" t="inlineStr">
        <is>
          <t>XLRM P10</t>
        </is>
      </c>
      <c r="D71" s="53" t="n">
        <v>1</v>
      </c>
      <c r="E71" s="53" t="inlineStr">
        <is>
          <t>DISPONIVEL</t>
        </is>
      </c>
      <c r="F71" s="53" t="inlineStr"/>
      <c r="G71" s="53" t="inlineStr">
        <is>
          <t>https://mmd.app/l/MMD-LOT-070</t>
        </is>
      </c>
    </row>
    <row r="72" ht="22" customHeight="1">
      <c r="A72" s="136" t="inlineStr">
        <is>
          <t>MMD-LOT-071</t>
        </is>
      </c>
      <c r="B72" s="58" t="inlineStr">
        <is>
          <t>Lote 1x CABO XLRm RCA</t>
        </is>
      </c>
      <c r="C72" s="58" t="inlineStr">
        <is>
          <t>XLRM RCA</t>
        </is>
      </c>
      <c r="D72" s="58" t="n">
        <v>1</v>
      </c>
      <c r="E72" s="58" t="inlineStr">
        <is>
          <t>DISPONIVEL</t>
        </is>
      </c>
      <c r="F72" s="58" t="inlineStr"/>
      <c r="G72" s="58" t="inlineStr">
        <is>
          <t>https://mmd.app/l/MMD-LOT-071</t>
        </is>
      </c>
    </row>
    <row r="73" ht="22" customHeight="1">
      <c r="A73" s="63" t="inlineStr">
        <is>
          <t>MMD-LOT-072</t>
        </is>
      </c>
      <c r="B73" s="53" t="inlineStr">
        <is>
          <t>Lote 1x Cabo Extensor HDMI 10M</t>
        </is>
      </c>
      <c r="C73" s="53" t="inlineStr">
        <is>
          <t>EXT HDMI</t>
        </is>
      </c>
      <c r="D73" s="53" t="n">
        <v>1</v>
      </c>
      <c r="E73" s="53" t="inlineStr">
        <is>
          <t>DISPONIVEL</t>
        </is>
      </c>
      <c r="F73" s="53" t="inlineStr"/>
      <c r="G73" s="53" t="inlineStr">
        <is>
          <t>https://mmd.app/l/MMD-LOT-072</t>
        </is>
      </c>
    </row>
    <row r="74" ht="22" customHeight="1">
      <c r="A74" s="136" t="inlineStr">
        <is>
          <t>MMD-LOT-073</t>
        </is>
      </c>
      <c r="B74" s="58" t="inlineStr">
        <is>
          <t>Lote 50x DMX PARA OUTDOR 1 METRO</t>
        </is>
      </c>
      <c r="C74" s="58" t="inlineStr">
        <is>
          <t>DMX</t>
        </is>
      </c>
      <c r="D74" s="58" t="n">
        <v>50</v>
      </c>
      <c r="E74" s="58" t="inlineStr">
        <is>
          <t>DISPONIVEL</t>
        </is>
      </c>
      <c r="F74" s="58" t="inlineStr"/>
      <c r="G74" s="58" t="inlineStr">
        <is>
          <t>https://mmd.app/l/MMD-LOT-073</t>
        </is>
      </c>
    </row>
    <row r="75" ht="22" customHeight="1">
      <c r="A75" s="63" t="inlineStr">
        <is>
          <t>MMD-LOT-074</t>
        </is>
      </c>
      <c r="B75" s="53" t="inlineStr">
        <is>
          <t>Lote 9x DMX PARA OUTDOR 1.5 METRO</t>
        </is>
      </c>
      <c r="C75" s="53" t="inlineStr">
        <is>
          <t>DMX</t>
        </is>
      </c>
      <c r="D75" s="53" t="n">
        <v>9</v>
      </c>
      <c r="E75" s="53" t="inlineStr">
        <is>
          <t>DISPONIVEL</t>
        </is>
      </c>
      <c r="F75" s="53" t="inlineStr"/>
      <c r="G75" s="53" t="inlineStr">
        <is>
          <t>https://mmd.app/l/MMD-LOT-074</t>
        </is>
      </c>
    </row>
    <row r="76" ht="22" customHeight="1">
      <c r="A76" s="136" t="inlineStr">
        <is>
          <t>MMD-LOT-075</t>
        </is>
      </c>
      <c r="B76" s="58" t="inlineStr">
        <is>
          <t>Lote 1x DMX PARA OUTDOR 1.77 METRO</t>
        </is>
      </c>
      <c r="C76" s="58" t="inlineStr">
        <is>
          <t>DMX</t>
        </is>
      </c>
      <c r="D76" s="58" t="n">
        <v>1</v>
      </c>
      <c r="E76" s="58" t="inlineStr">
        <is>
          <t>DISPONIVEL</t>
        </is>
      </c>
      <c r="F76" s="58" t="inlineStr"/>
      <c r="G76" s="58" t="inlineStr">
        <is>
          <t>https://mmd.app/l/MMD-LOT-075</t>
        </is>
      </c>
    </row>
    <row r="77" ht="22" customHeight="1">
      <c r="A77" s="63" t="inlineStr">
        <is>
          <t>MMD-LOT-076</t>
        </is>
      </c>
      <c r="B77" s="53" t="inlineStr">
        <is>
          <t>Lote 11x DMX PARA OUTDOR 70CM</t>
        </is>
      </c>
      <c r="C77" s="53" t="inlineStr">
        <is>
          <t>DMX</t>
        </is>
      </c>
      <c r="D77" s="53" t="n">
        <v>11</v>
      </c>
      <c r="E77" s="53" t="inlineStr">
        <is>
          <t>DISPONIVEL</t>
        </is>
      </c>
      <c r="F77" s="53" t="inlineStr"/>
      <c r="G77" s="53" t="inlineStr">
        <is>
          <t>https://mmd.app/l/MMD-LOT-076</t>
        </is>
      </c>
    </row>
    <row r="78" ht="22" customHeight="1">
      <c r="A78" s="136" t="inlineStr">
        <is>
          <t>MMD-LOT-077</t>
        </is>
      </c>
      <c r="B78" s="58" t="inlineStr">
        <is>
          <t>Lote 1x DMX PIAL 60CM</t>
        </is>
      </c>
      <c r="C78" s="58" t="inlineStr">
        <is>
          <t>DMX PIAL</t>
        </is>
      </c>
      <c r="D78" s="58" t="n">
        <v>1</v>
      </c>
      <c r="E78" s="58" t="inlineStr">
        <is>
          <t>DISPONIVEL</t>
        </is>
      </c>
      <c r="F78" s="58" t="inlineStr"/>
      <c r="G78" s="58" t="inlineStr">
        <is>
          <t>https://mmd.app/l/MMD-LOT-077</t>
        </is>
      </c>
    </row>
    <row r="79" ht="22" customHeight="1">
      <c r="A79" s="63" t="inlineStr">
        <is>
          <t>MMD-LOT-078</t>
        </is>
      </c>
      <c r="B79" s="53" t="inlineStr">
        <is>
          <t>Lote 1x EXTENSAO 1 PONTA 10M</t>
        </is>
      </c>
      <c r="C79" s="53" t="inlineStr">
        <is>
          <t>EXT 1 PTA</t>
        </is>
      </c>
      <c r="D79" s="53" t="n">
        <v>1</v>
      </c>
      <c r="E79" s="53" t="inlineStr">
        <is>
          <t>DISPONIVEL</t>
        </is>
      </c>
      <c r="F79" s="53" t="inlineStr"/>
      <c r="G79" s="53" t="inlineStr">
        <is>
          <t>https://mmd.app/l/MMD-LOT-078</t>
        </is>
      </c>
    </row>
    <row r="80" ht="22" customHeight="1">
      <c r="A80" s="136" t="inlineStr">
        <is>
          <t>MMD-LOT-079</t>
        </is>
      </c>
      <c r="B80" s="58" t="inlineStr">
        <is>
          <t>Lote 4x EXTENSAO 1 PONTA 1M</t>
        </is>
      </c>
      <c r="C80" s="58" t="inlineStr">
        <is>
          <t>EXT 1 PTA</t>
        </is>
      </c>
      <c r="D80" s="58" t="n">
        <v>4</v>
      </c>
      <c r="E80" s="58" t="inlineStr">
        <is>
          <t>DISPONIVEL</t>
        </is>
      </c>
      <c r="F80" s="58" t="inlineStr"/>
      <c r="G80" s="58" t="inlineStr">
        <is>
          <t>https://mmd.app/l/MMD-LOT-079</t>
        </is>
      </c>
    </row>
    <row r="81" ht="22" customHeight="1">
      <c r="A81" s="63" t="inlineStr">
        <is>
          <t>MMD-LOT-080</t>
        </is>
      </c>
      <c r="B81" s="53" t="inlineStr">
        <is>
          <t>Lote 1x EXTENSAO 1 PONTA 2.5M</t>
        </is>
      </c>
      <c r="C81" s="53" t="inlineStr">
        <is>
          <t>EXT 1 PTA</t>
        </is>
      </c>
      <c r="D81" s="53" t="n">
        <v>1</v>
      </c>
      <c r="E81" s="53" t="inlineStr">
        <is>
          <t>DISPONIVEL</t>
        </is>
      </c>
      <c r="F81" s="53" t="inlineStr"/>
      <c r="G81" s="53" t="inlineStr">
        <is>
          <t>https://mmd.app/l/MMD-LOT-080</t>
        </is>
      </c>
    </row>
    <row r="82" ht="22" customHeight="1">
      <c r="A82" s="136" t="inlineStr">
        <is>
          <t>MMD-LOT-081</t>
        </is>
      </c>
      <c r="B82" s="58" t="inlineStr">
        <is>
          <t>Lote 1x EXTENSAO 1 PONTA 2M</t>
        </is>
      </c>
      <c r="C82" s="58" t="inlineStr">
        <is>
          <t>EXT 1 PTA</t>
        </is>
      </c>
      <c r="D82" s="58" t="n">
        <v>1</v>
      </c>
      <c r="E82" s="58" t="inlineStr">
        <is>
          <t>DISPONIVEL</t>
        </is>
      </c>
      <c r="F82" s="58" t="inlineStr"/>
      <c r="G82" s="58" t="inlineStr">
        <is>
          <t>https://mmd.app/l/MMD-LOT-081</t>
        </is>
      </c>
    </row>
    <row r="83" ht="22" customHeight="1">
      <c r="A83" s="63" t="inlineStr">
        <is>
          <t>MMD-LOT-082</t>
        </is>
      </c>
      <c r="B83" s="53" t="inlineStr">
        <is>
          <t>Lote 1x EXTENSAO 1 PONTA 30CM</t>
        </is>
      </c>
      <c r="C83" s="53" t="inlineStr">
        <is>
          <t>EXT 1 PTA</t>
        </is>
      </c>
      <c r="D83" s="53" t="n">
        <v>1</v>
      </c>
      <c r="E83" s="53" t="inlineStr">
        <is>
          <t>DISPONIVEL</t>
        </is>
      </c>
      <c r="F83" s="53" t="inlineStr"/>
      <c r="G83" s="53" t="inlineStr">
        <is>
          <t>https://mmd.app/l/MMD-LOT-082</t>
        </is>
      </c>
    </row>
    <row r="84" ht="22" customHeight="1">
      <c r="A84" s="136" t="inlineStr">
        <is>
          <t>MMD-LOT-083</t>
        </is>
      </c>
      <c r="B84" s="58" t="inlineStr">
        <is>
          <t>Lote 1x EXTENSAO 1 PONTA 4.5M</t>
        </is>
      </c>
      <c r="C84" s="58" t="inlineStr">
        <is>
          <t>EXT 1 PTA</t>
        </is>
      </c>
      <c r="D84" s="58" t="n">
        <v>1</v>
      </c>
      <c r="E84" s="58" t="inlineStr">
        <is>
          <t>DISPONIVEL</t>
        </is>
      </c>
      <c r="F84" s="58" t="inlineStr"/>
      <c r="G84" s="58" t="inlineStr">
        <is>
          <t>https://mmd.app/l/MMD-LOT-083</t>
        </is>
      </c>
    </row>
    <row r="85" ht="22" customHeight="1">
      <c r="A85" s="63" t="inlineStr">
        <is>
          <t>MMD-LOT-084</t>
        </is>
      </c>
      <c r="B85" s="53" t="inlineStr">
        <is>
          <t>Lote 2x EXTENSAO 1 PONTA 5M</t>
        </is>
      </c>
      <c r="C85" s="53" t="inlineStr">
        <is>
          <t>EXT 1 PTA</t>
        </is>
      </c>
      <c r="D85" s="53" t="n">
        <v>2</v>
      </c>
      <c r="E85" s="53" t="inlineStr">
        <is>
          <t>DISPONIVEL</t>
        </is>
      </c>
      <c r="F85" s="53" t="inlineStr"/>
      <c r="G85" s="53" t="inlineStr">
        <is>
          <t>https://mmd.app/l/MMD-LOT-084</t>
        </is>
      </c>
    </row>
    <row r="86" ht="22" customHeight="1">
      <c r="A86" s="136" t="inlineStr">
        <is>
          <t>MMD-LOT-085</t>
        </is>
      </c>
      <c r="B86" s="58" t="inlineStr">
        <is>
          <t>Lote 3x EXTENSAO 1 PONTA 90CM</t>
        </is>
      </c>
      <c r="C86" s="58" t="inlineStr">
        <is>
          <t>EXT 1 PTA</t>
        </is>
      </c>
      <c r="D86" s="58" t="n">
        <v>3</v>
      </c>
      <c r="E86" s="58" t="inlineStr">
        <is>
          <t>DISPONIVEL</t>
        </is>
      </c>
      <c r="F86" s="58" t="inlineStr"/>
      <c r="G86" s="58" t="inlineStr">
        <is>
          <t>https://mmd.app/l/MMD-LOT-085</t>
        </is>
      </c>
    </row>
    <row r="87" ht="22" customHeight="1">
      <c r="A87" s="63" t="inlineStr">
        <is>
          <t>MMD-LOT-086</t>
        </is>
      </c>
      <c r="B87" s="53" t="inlineStr">
        <is>
          <t>Lote 3x EXTENSOR DE P10 1.8M</t>
        </is>
      </c>
      <c r="C87" s="53" t="inlineStr">
        <is>
          <t>EXT P10</t>
        </is>
      </c>
      <c r="D87" s="53" t="n">
        <v>3</v>
      </c>
      <c r="E87" s="53" t="inlineStr">
        <is>
          <t>DISPONIVEL</t>
        </is>
      </c>
      <c r="F87" s="53" t="inlineStr"/>
      <c r="G87" s="53" t="inlineStr">
        <is>
          <t>https://mmd.app/l/MMD-LOT-086</t>
        </is>
      </c>
    </row>
    <row r="88" ht="22" customHeight="1">
      <c r="A88" s="136" t="inlineStr">
        <is>
          <t>MMD-LOT-087</t>
        </is>
      </c>
      <c r="B88" s="58" t="inlineStr">
        <is>
          <t>Lote 5x EXTENSOR DE P10 3M</t>
        </is>
      </c>
      <c r="C88" s="58" t="inlineStr">
        <is>
          <t>EXT P10</t>
        </is>
      </c>
      <c r="D88" s="58" t="n">
        <v>5</v>
      </c>
      <c r="E88" s="58" t="inlineStr">
        <is>
          <t>DISPONIVEL</t>
        </is>
      </c>
      <c r="F88" s="58" t="inlineStr"/>
      <c r="G88" s="58" t="inlineStr">
        <is>
          <t>https://mmd.app/l/MMD-LOT-087</t>
        </is>
      </c>
    </row>
    <row r="89" ht="22" customHeight="1">
      <c r="A89" s="63" t="inlineStr">
        <is>
          <t>MMD-LOT-088</t>
        </is>
      </c>
      <c r="B89" s="53" t="inlineStr">
        <is>
          <t>Lote 2x EXTENSOR DE P10 5M</t>
        </is>
      </c>
      <c r="C89" s="53" t="inlineStr">
        <is>
          <t>EXT P10</t>
        </is>
      </c>
      <c r="D89" s="53" t="n">
        <v>2</v>
      </c>
      <c r="E89" s="53" t="inlineStr">
        <is>
          <t>DISPONIVEL</t>
        </is>
      </c>
      <c r="F89" s="53" t="inlineStr"/>
      <c r="G89" s="53" t="inlineStr">
        <is>
          <t>https://mmd.app/l/MMD-LOT-088</t>
        </is>
      </c>
    </row>
    <row r="90" ht="22" customHeight="1">
      <c r="A90" s="136" t="inlineStr">
        <is>
          <t>MMD-LOT-089</t>
        </is>
      </c>
      <c r="B90" s="58" t="inlineStr">
        <is>
          <t>Lote 7x EXTENSOR DE P2</t>
        </is>
      </c>
      <c r="C90" s="58" t="inlineStr">
        <is>
          <t>EXT P2</t>
        </is>
      </c>
      <c r="D90" s="58" t="n">
        <v>7</v>
      </c>
      <c r="E90" s="58" t="inlineStr">
        <is>
          <t>DISPONIVEL</t>
        </is>
      </c>
      <c r="F90" s="58" t="inlineStr"/>
      <c r="G90" s="58" t="inlineStr">
        <is>
          <t>https://mmd.app/l/MMD-LOT-089</t>
        </is>
      </c>
    </row>
    <row r="91" ht="22" customHeight="1">
      <c r="A91" s="63" t="inlineStr">
        <is>
          <t>MMD-LOT-090</t>
        </is>
      </c>
      <c r="B91" s="53" t="inlineStr">
        <is>
          <t>Lote 1x EXTENSOR DE P2 1.5M</t>
        </is>
      </c>
      <c r="C91" s="53" t="inlineStr">
        <is>
          <t>EXT P2</t>
        </is>
      </c>
      <c r="D91" s="53" t="n">
        <v>1</v>
      </c>
      <c r="E91" s="53" t="inlineStr">
        <is>
          <t>DISPONIVEL</t>
        </is>
      </c>
      <c r="F91" s="53" t="inlineStr"/>
      <c r="G91" s="53" t="inlineStr">
        <is>
          <t>https://mmd.app/l/MMD-LOT-090</t>
        </is>
      </c>
    </row>
    <row r="92" ht="22" customHeight="1">
      <c r="A92" s="136" t="inlineStr">
        <is>
          <t>MMD-LOT-091</t>
        </is>
      </c>
      <c r="B92" s="58" t="inlineStr">
        <is>
          <t>Lote 1x EXTENSOR DE P2 50CM</t>
        </is>
      </c>
      <c r="C92" s="58" t="inlineStr">
        <is>
          <t>EXT P2</t>
        </is>
      </c>
      <c r="D92" s="58" t="n">
        <v>1</v>
      </c>
      <c r="E92" s="58" t="inlineStr">
        <is>
          <t>DISPONIVEL</t>
        </is>
      </c>
      <c r="F92" s="58" t="inlineStr"/>
      <c r="G92" s="58" t="inlineStr">
        <is>
          <t>https://mmd.app/l/MMD-LOT-091</t>
        </is>
      </c>
    </row>
    <row r="93" ht="22" customHeight="1">
      <c r="A93" s="63" t="inlineStr">
        <is>
          <t>MMD-LOT-092</t>
        </is>
      </c>
      <c r="B93" s="53" t="inlineStr">
        <is>
          <t>Lote 1x EXTENSOR DE USB A</t>
        </is>
      </c>
      <c r="C93" s="53" t="inlineStr">
        <is>
          <t>EXTENSOR USB A</t>
        </is>
      </c>
      <c r="D93" s="53" t="n">
        <v>1</v>
      </c>
      <c r="E93" s="53" t="inlineStr">
        <is>
          <t>DISPONIVEL</t>
        </is>
      </c>
      <c r="F93" s="53" t="inlineStr"/>
      <c r="G93" s="53" t="inlineStr">
        <is>
          <t>https://mmd.app/l/MMD-LOT-092</t>
        </is>
      </c>
    </row>
    <row r="94" ht="22" customHeight="1">
      <c r="A94" s="136" t="inlineStr">
        <is>
          <t>MMD-LOT-093</t>
        </is>
      </c>
      <c r="B94" s="58" t="inlineStr">
        <is>
          <t>Lote 1x EXTENSOR USB 1M</t>
        </is>
      </c>
      <c r="C94" s="58" t="inlineStr">
        <is>
          <t>EXT USB</t>
        </is>
      </c>
      <c r="D94" s="58" t="n">
        <v>1</v>
      </c>
      <c r="E94" s="58" t="inlineStr">
        <is>
          <t>DISPONIVEL</t>
        </is>
      </c>
      <c r="F94" s="58" t="inlineStr"/>
      <c r="G94" s="58" t="inlineStr">
        <is>
          <t>https://mmd.app/l/MMD-LOT-093</t>
        </is>
      </c>
    </row>
    <row r="95" ht="22" customHeight="1">
      <c r="A95" s="63" t="inlineStr">
        <is>
          <t>MMD-LOT-094</t>
        </is>
      </c>
      <c r="B95" s="53" t="inlineStr">
        <is>
          <t>Lote 4x P10 - P10F 10M</t>
        </is>
      </c>
      <c r="C95" s="53" t="inlineStr">
        <is>
          <t>P10EXT - P10F</t>
        </is>
      </c>
      <c r="D95" s="53" t="n">
        <v>4</v>
      </c>
      <c r="E95" s="53" t="inlineStr">
        <is>
          <t>DISPONIVEL</t>
        </is>
      </c>
      <c r="F95" s="53" t="inlineStr"/>
      <c r="G95" s="53" t="inlineStr">
        <is>
          <t>https://mmd.app/l/MMD-LOT-094</t>
        </is>
      </c>
    </row>
    <row r="96" ht="22" customHeight="1">
      <c r="A96" s="136" t="inlineStr">
        <is>
          <t>MMD-LOT-095</t>
        </is>
      </c>
      <c r="B96" s="58" t="inlineStr">
        <is>
          <t>Lote 4x P10 - P10F 15M</t>
        </is>
      </c>
      <c r="C96" s="58" t="inlineStr">
        <is>
          <t>P10EXT - P10F</t>
        </is>
      </c>
      <c r="D96" s="58" t="n">
        <v>4</v>
      </c>
      <c r="E96" s="58" t="inlineStr">
        <is>
          <t>DISPONIVEL</t>
        </is>
      </c>
      <c r="F96" s="58" t="inlineStr"/>
      <c r="G96" s="58" t="inlineStr">
        <is>
          <t>https://mmd.app/l/MMD-LOT-095</t>
        </is>
      </c>
    </row>
    <row r="97" ht="22" customHeight="1">
      <c r="A97" s="63" t="inlineStr">
        <is>
          <t>MMD-LOT-096</t>
        </is>
      </c>
      <c r="B97" s="53" t="inlineStr">
        <is>
          <t>Lote 1x P10 - P10F 7M</t>
        </is>
      </c>
      <c r="C97" s="53" t="inlineStr">
        <is>
          <t>P10EXT - P10F</t>
        </is>
      </c>
      <c r="D97" s="53" t="n">
        <v>1</v>
      </c>
      <c r="E97" s="53" t="inlineStr">
        <is>
          <t>DISPONIVEL</t>
        </is>
      </c>
      <c r="F97" s="53" t="inlineStr"/>
      <c r="G97" s="53" t="inlineStr">
        <is>
          <t>https://mmd.app/l/MMD-LOT-096</t>
        </is>
      </c>
    </row>
    <row r="98" ht="22" customHeight="1">
      <c r="A98" s="136" t="inlineStr">
        <is>
          <t>MMD-LOT-097</t>
        </is>
      </c>
      <c r="B98" s="58" t="inlineStr">
        <is>
          <t>Lote 2x P10 10M</t>
        </is>
      </c>
      <c r="C98" s="58" t="inlineStr">
        <is>
          <t>P10</t>
        </is>
      </c>
      <c r="D98" s="58" t="n">
        <v>2</v>
      </c>
      <c r="E98" s="58" t="inlineStr">
        <is>
          <t>DISPONIVEL</t>
        </is>
      </c>
      <c r="F98" s="58" t="inlineStr"/>
      <c r="G98" s="58" t="inlineStr">
        <is>
          <t>https://mmd.app/l/MMD-LOT-097</t>
        </is>
      </c>
    </row>
    <row r="99" ht="22" customHeight="1">
      <c r="A99" s="63" t="inlineStr">
        <is>
          <t>MMD-LOT-098</t>
        </is>
      </c>
      <c r="B99" s="53" t="inlineStr">
        <is>
          <t>Lote 1x P10 2M</t>
        </is>
      </c>
      <c r="C99" s="53" t="inlineStr">
        <is>
          <t>P10</t>
        </is>
      </c>
      <c r="D99" s="53" t="n">
        <v>1</v>
      </c>
      <c r="E99" s="53" t="inlineStr">
        <is>
          <t>DISPONIVEL</t>
        </is>
      </c>
      <c r="F99" s="53" t="inlineStr"/>
      <c r="G99" s="53" t="inlineStr">
        <is>
          <t>https://mmd.app/l/MMD-LOT-098</t>
        </is>
      </c>
    </row>
    <row r="100" ht="22" customHeight="1">
      <c r="A100" s="136" t="inlineStr">
        <is>
          <t>MMD-LOT-099</t>
        </is>
      </c>
      <c r="B100" s="58" t="inlineStr">
        <is>
          <t>Lote 1x P10 3M</t>
        </is>
      </c>
      <c r="C100" s="58" t="inlineStr">
        <is>
          <t>P10</t>
        </is>
      </c>
      <c r="D100" s="58" t="n">
        <v>1</v>
      </c>
      <c r="E100" s="58" t="inlineStr">
        <is>
          <t>DISPONIVEL</t>
        </is>
      </c>
      <c r="F100" s="58" t="inlineStr"/>
      <c r="G100" s="58" t="inlineStr">
        <is>
          <t>https://mmd.app/l/MMD-LOT-099</t>
        </is>
      </c>
    </row>
    <row r="101" ht="22" customHeight="1">
      <c r="A101" s="63" t="inlineStr">
        <is>
          <t>MMD-LOT-100</t>
        </is>
      </c>
      <c r="B101" s="53" t="inlineStr">
        <is>
          <t>Lote 1x P10 5.5M</t>
        </is>
      </c>
      <c r="C101" s="53" t="inlineStr">
        <is>
          <t>P10</t>
        </is>
      </c>
      <c r="D101" s="53" t="n">
        <v>1</v>
      </c>
      <c r="E101" s="53" t="inlineStr">
        <is>
          <t>DISPONIVEL</t>
        </is>
      </c>
      <c r="F101" s="53" t="inlineStr"/>
      <c r="G101" s="53" t="inlineStr">
        <is>
          <t>https://mmd.app/l/MMD-LOT-100</t>
        </is>
      </c>
    </row>
    <row r="102" ht="22" customHeight="1">
      <c r="A102" s="136" t="inlineStr">
        <is>
          <t>MMD-LOT-101</t>
        </is>
      </c>
      <c r="B102" s="58" t="inlineStr">
        <is>
          <t>Lote 3x P10 6M</t>
        </is>
      </c>
      <c r="C102" s="58" t="inlineStr">
        <is>
          <t>P10</t>
        </is>
      </c>
      <c r="D102" s="58" t="n">
        <v>3</v>
      </c>
      <c r="E102" s="58" t="inlineStr">
        <is>
          <t>DISPONIVEL</t>
        </is>
      </c>
      <c r="F102" s="58" t="inlineStr"/>
      <c r="G102" s="58" t="inlineStr">
        <is>
          <t>https://mmd.app/l/MMD-LOT-101</t>
        </is>
      </c>
    </row>
    <row r="103" ht="22" customHeight="1">
      <c r="A103" s="63" t="inlineStr">
        <is>
          <t>MMD-LOT-102</t>
        </is>
      </c>
      <c r="B103" s="53" t="inlineStr">
        <is>
          <t>Lote 2x P10 7M</t>
        </is>
      </c>
      <c r="C103" s="53" t="inlineStr">
        <is>
          <t>P10</t>
        </is>
      </c>
      <c r="D103" s="53" t="n">
        <v>2</v>
      </c>
      <c r="E103" s="53" t="inlineStr">
        <is>
          <t>DISPONIVEL</t>
        </is>
      </c>
      <c r="F103" s="53" t="inlineStr"/>
      <c r="G103" s="53" t="inlineStr">
        <is>
          <t>https://mmd.app/l/MMD-LOT-102</t>
        </is>
      </c>
    </row>
    <row r="104" ht="22" customHeight="1">
      <c r="A104" s="136" t="inlineStr">
        <is>
          <t>MMD-LOT-103</t>
        </is>
      </c>
      <c r="B104" s="58" t="inlineStr">
        <is>
          <t>Lote 1x P10 9M</t>
        </is>
      </c>
      <c r="C104" s="58" t="inlineStr">
        <is>
          <t>P10</t>
        </is>
      </c>
      <c r="D104" s="58" t="n">
        <v>1</v>
      </c>
      <c r="E104" s="58" t="inlineStr">
        <is>
          <t>DISPONIVEL</t>
        </is>
      </c>
      <c r="F104" s="58" t="inlineStr"/>
      <c r="G104" s="58" t="inlineStr">
        <is>
          <t>https://mmd.app/l/MMD-LOT-103</t>
        </is>
      </c>
    </row>
    <row r="105" ht="22" customHeight="1">
      <c r="A105" s="63" t="inlineStr">
        <is>
          <t>MMD-LOT-104</t>
        </is>
      </c>
      <c r="B105" s="53" t="inlineStr">
        <is>
          <t>Lote 1x P10 P10 1.8M</t>
        </is>
      </c>
      <c r="C105" s="53" t="inlineStr">
        <is>
          <t>P10</t>
        </is>
      </c>
      <c r="D105" s="53" t="n">
        <v>1</v>
      </c>
      <c r="E105" s="53" t="inlineStr">
        <is>
          <t>DISPONIVEL</t>
        </is>
      </c>
      <c r="F105" s="53" t="inlineStr"/>
      <c r="G105" s="53" t="inlineStr">
        <is>
          <t>https://mmd.app/l/MMD-LOT-104</t>
        </is>
      </c>
    </row>
    <row r="106" ht="22" customHeight="1">
      <c r="A106" s="136" t="inlineStr">
        <is>
          <t>MMD-LOT-105</t>
        </is>
      </c>
      <c r="B106" s="58" t="inlineStr">
        <is>
          <t>Lote 1x P10 P10 10M</t>
        </is>
      </c>
      <c r="C106" s="58" t="inlineStr">
        <is>
          <t>P10</t>
        </is>
      </c>
      <c r="D106" s="58" t="n">
        <v>1</v>
      </c>
      <c r="E106" s="58" t="inlineStr">
        <is>
          <t>DISPONIVEL</t>
        </is>
      </c>
      <c r="F106" s="58" t="inlineStr"/>
      <c r="G106" s="58" t="inlineStr">
        <is>
          <t>https://mmd.app/l/MMD-LOT-105</t>
        </is>
      </c>
    </row>
    <row r="107" ht="22" customHeight="1">
      <c r="A107" s="63" t="inlineStr">
        <is>
          <t>MMD-LOT-106</t>
        </is>
      </c>
      <c r="B107" s="53" t="inlineStr">
        <is>
          <t>Lote 1x P10 P10 5.5M</t>
        </is>
      </c>
      <c r="C107" s="53" t="inlineStr">
        <is>
          <t>P10</t>
        </is>
      </c>
      <c r="D107" s="53" t="n">
        <v>1</v>
      </c>
      <c r="E107" s="53" t="inlineStr">
        <is>
          <t>DISPONIVEL</t>
        </is>
      </c>
      <c r="F107" s="53" t="inlineStr"/>
      <c r="G107" s="53" t="inlineStr">
        <is>
          <t>https://mmd.app/l/MMD-LOT-106</t>
        </is>
      </c>
    </row>
    <row r="108" ht="22" customHeight="1">
      <c r="A108" s="136" t="inlineStr">
        <is>
          <t>MMD-LOT-107</t>
        </is>
      </c>
      <c r="B108" s="58" t="inlineStr">
        <is>
          <t>Lote 2x P10 P10 6M</t>
        </is>
      </c>
      <c r="C108" s="58" t="inlineStr">
        <is>
          <t>P10</t>
        </is>
      </c>
      <c r="D108" s="58" t="n">
        <v>2</v>
      </c>
      <c r="E108" s="58" t="inlineStr">
        <is>
          <t>DISPONIVEL</t>
        </is>
      </c>
      <c r="F108" s="58" t="inlineStr"/>
      <c r="G108" s="58" t="inlineStr">
        <is>
          <t>https://mmd.app/l/MMD-LOT-107</t>
        </is>
      </c>
    </row>
    <row r="109" ht="22" customHeight="1">
      <c r="A109" s="63" t="inlineStr">
        <is>
          <t>MMD-LOT-108</t>
        </is>
      </c>
      <c r="B109" s="53" t="inlineStr">
        <is>
          <t>Lote 2x P10 P10 7M</t>
        </is>
      </c>
      <c r="C109" s="53" t="inlineStr">
        <is>
          <t>P10</t>
        </is>
      </c>
      <c r="D109" s="53" t="n">
        <v>2</v>
      </c>
      <c r="E109" s="53" t="inlineStr">
        <is>
          <t>DISPONIVEL</t>
        </is>
      </c>
      <c r="F109" s="53" t="inlineStr"/>
      <c r="G109" s="53" t="inlineStr">
        <is>
          <t>https://mmd.app/l/MMD-LOT-108</t>
        </is>
      </c>
    </row>
    <row r="110" ht="22" customHeight="1">
      <c r="A110" s="136" t="inlineStr">
        <is>
          <t>MMD-LOT-109</t>
        </is>
      </c>
      <c r="B110" s="58" t="inlineStr">
        <is>
          <t>Lote 1x P10 P10 9M</t>
        </is>
      </c>
      <c r="C110" s="58" t="inlineStr">
        <is>
          <t>P10</t>
        </is>
      </c>
      <c r="D110" s="58" t="n">
        <v>1</v>
      </c>
      <c r="E110" s="58" t="inlineStr">
        <is>
          <t>DISPONIVEL</t>
        </is>
      </c>
      <c r="F110" s="58" t="inlineStr"/>
      <c r="G110" s="58" t="inlineStr">
        <is>
          <t>https://mmd.app/l/MMD-LOT-109</t>
        </is>
      </c>
    </row>
    <row r="111" ht="22" customHeight="1">
      <c r="A111" s="63" t="inlineStr">
        <is>
          <t>MMD-LOT-110</t>
        </is>
      </c>
      <c r="B111" s="53" t="inlineStr">
        <is>
          <t>Lote 1x P10 XLRF 2.9M</t>
        </is>
      </c>
      <c r="C111" s="53" t="inlineStr">
        <is>
          <t>P10 XLRF</t>
        </is>
      </c>
      <c r="D111" s="53" t="n">
        <v>1</v>
      </c>
      <c r="E111" s="53" t="inlineStr">
        <is>
          <t>DISPONIVEL</t>
        </is>
      </c>
      <c r="F111" s="53" t="inlineStr"/>
      <c r="G111" s="53" t="inlineStr">
        <is>
          <t>https://mmd.app/l/MMD-LOT-110</t>
        </is>
      </c>
    </row>
    <row r="112" ht="22" customHeight="1">
      <c r="A112" s="136" t="inlineStr">
        <is>
          <t>MMD-LOT-111</t>
        </is>
      </c>
      <c r="B112" s="58" t="inlineStr">
        <is>
          <t>Lote 2x P10 XLRM 11M</t>
        </is>
      </c>
      <c r="C112" s="58" t="inlineStr">
        <is>
          <t>P10 XLRM</t>
        </is>
      </c>
      <c r="D112" s="58" t="n">
        <v>2</v>
      </c>
      <c r="E112" s="58" t="inlineStr">
        <is>
          <t>DISPONIVEL</t>
        </is>
      </c>
      <c r="F112" s="58" t="inlineStr"/>
      <c r="G112" s="58" t="inlineStr">
        <is>
          <t>https://mmd.app/l/MMD-LOT-111</t>
        </is>
      </c>
    </row>
    <row r="113" ht="22" customHeight="1">
      <c r="A113" s="63" t="inlineStr">
        <is>
          <t>MMD-LOT-112</t>
        </is>
      </c>
      <c r="B113" s="53" t="inlineStr">
        <is>
          <t>Lote 1x P10 XLRM 5.8M</t>
        </is>
      </c>
      <c r="C113" s="53" t="inlineStr">
        <is>
          <t>P10 XLRM</t>
        </is>
      </c>
      <c r="D113" s="53" t="n">
        <v>1</v>
      </c>
      <c r="E113" s="53" t="inlineStr">
        <is>
          <t>DISPONIVEL</t>
        </is>
      </c>
      <c r="F113" s="53" t="inlineStr"/>
      <c r="G113" s="53" t="inlineStr">
        <is>
          <t>https://mmd.app/l/MMD-LOT-112</t>
        </is>
      </c>
    </row>
    <row r="114" ht="22" customHeight="1">
      <c r="A114" s="136" t="inlineStr">
        <is>
          <t>MMD-LOT-113</t>
        </is>
      </c>
      <c r="B114" s="58" t="inlineStr">
        <is>
          <t>Lote 2x P10 XLRM 5M</t>
        </is>
      </c>
      <c r="C114" s="58" t="inlineStr">
        <is>
          <t>P10 XLRM</t>
        </is>
      </c>
      <c r="D114" s="58" t="n">
        <v>2</v>
      </c>
      <c r="E114" s="58" t="inlineStr">
        <is>
          <t>DISPONIVEL</t>
        </is>
      </c>
      <c r="F114" s="58" t="inlineStr"/>
      <c r="G114" s="58" t="inlineStr">
        <is>
          <t>https://mmd.app/l/MMD-LOT-113</t>
        </is>
      </c>
    </row>
    <row r="115" ht="22" customHeight="1">
      <c r="A115" s="63" t="inlineStr">
        <is>
          <t>MMD-LOT-114</t>
        </is>
      </c>
      <c r="B115" s="53" t="inlineStr">
        <is>
          <t>Lote 86x POWERCON PIAL 1 METRO</t>
        </is>
      </c>
      <c r="C115" s="53" t="inlineStr">
        <is>
          <t>POWERCON PIAL</t>
        </is>
      </c>
      <c r="D115" s="53" t="n">
        <v>86</v>
      </c>
      <c r="E115" s="53" t="inlineStr">
        <is>
          <t>DISPONIVEL</t>
        </is>
      </c>
      <c r="F115" s="53" t="inlineStr"/>
      <c r="G115" s="53" t="inlineStr">
        <is>
          <t>https://mmd.app/l/MMD-LOT-114</t>
        </is>
      </c>
    </row>
    <row r="116" ht="22" customHeight="1">
      <c r="A116" s="136" t="inlineStr">
        <is>
          <t>MMD-LOT-115</t>
        </is>
      </c>
      <c r="B116" s="58" t="inlineStr">
        <is>
          <t>Lote 1x POWERCON PIAL 2 METROS</t>
        </is>
      </c>
      <c r="C116" s="58" t="inlineStr">
        <is>
          <t>POWERCON PIAL</t>
        </is>
      </c>
      <c r="D116" s="58" t="n">
        <v>1</v>
      </c>
      <c r="E116" s="58" t="inlineStr">
        <is>
          <t>DISPONIVEL</t>
        </is>
      </c>
      <c r="F116" s="58" t="inlineStr"/>
      <c r="G116" s="58" t="inlineStr">
        <is>
          <t>https://mmd.app/l/MMD-LOT-115</t>
        </is>
      </c>
    </row>
    <row r="117" ht="22" customHeight="1">
      <c r="A117" s="63" t="inlineStr">
        <is>
          <t>MMD-LOT-116</t>
        </is>
      </c>
      <c r="B117" s="53" t="inlineStr">
        <is>
          <t>Lote 1x POWERCON PIAL 7 METROS</t>
        </is>
      </c>
      <c r="C117" s="53" t="inlineStr">
        <is>
          <t>POWERCON PIAL</t>
        </is>
      </c>
      <c r="D117" s="53" t="n">
        <v>1</v>
      </c>
      <c r="E117" s="53" t="inlineStr">
        <is>
          <t>DISPONIVEL</t>
        </is>
      </c>
      <c r="F117" s="53" t="inlineStr"/>
      <c r="G117" s="53" t="inlineStr">
        <is>
          <t>https://mmd.app/l/MMD-LOT-116</t>
        </is>
      </c>
    </row>
    <row r="118" ht="22" customHeight="1">
      <c r="A118" s="136" t="inlineStr">
        <is>
          <t>MMD-LOT-117</t>
        </is>
      </c>
      <c r="B118" s="58" t="inlineStr">
        <is>
          <t>Lote 25x POWERCON POWERCON 1 METRO</t>
        </is>
      </c>
      <c r="C118" s="58" t="inlineStr">
        <is>
          <t>POWERCON POWERCON</t>
        </is>
      </c>
      <c r="D118" s="58" t="n">
        <v>25</v>
      </c>
      <c r="E118" s="58" t="inlineStr">
        <is>
          <t>DISPONIVEL</t>
        </is>
      </c>
      <c r="F118" s="58" t="inlineStr"/>
      <c r="G118" s="58" t="inlineStr">
        <is>
          <t>https://mmd.app/l/MMD-LOT-117</t>
        </is>
      </c>
    </row>
    <row r="119" ht="22" customHeight="1">
      <c r="A119" s="63" t="inlineStr">
        <is>
          <t>MMD-LOT-118</t>
        </is>
      </c>
      <c r="B119" s="53" t="inlineStr">
        <is>
          <t>Lote 3x POWERCON POWERCON 1.3 METROS</t>
        </is>
      </c>
      <c r="C119" s="53" t="inlineStr">
        <is>
          <t>POWERCON POWERCON</t>
        </is>
      </c>
      <c r="D119" s="53" t="n">
        <v>3</v>
      </c>
      <c r="E119" s="53" t="inlineStr">
        <is>
          <t>DISPONIVEL</t>
        </is>
      </c>
      <c r="F119" s="53" t="inlineStr"/>
      <c r="G119" s="53" t="inlineStr">
        <is>
          <t>https://mmd.app/l/MMD-LOT-118</t>
        </is>
      </c>
    </row>
    <row r="120" ht="22" customHeight="1">
      <c r="A120" s="136" t="inlineStr">
        <is>
          <t>MMD-LOT-119</t>
        </is>
      </c>
      <c r="B120" s="58" t="inlineStr">
        <is>
          <t>Lote 1x POWERCON POWERCON 1.5 METROS</t>
        </is>
      </c>
      <c r="C120" s="58" t="inlineStr">
        <is>
          <t>POWERCON POWERCON</t>
        </is>
      </c>
      <c r="D120" s="58" t="n">
        <v>1</v>
      </c>
      <c r="E120" s="58" t="inlineStr">
        <is>
          <t>DISPONIVEL</t>
        </is>
      </c>
      <c r="F120" s="58" t="inlineStr"/>
      <c r="G120" s="58" t="inlineStr">
        <is>
          <t>https://mmd.app/l/MMD-LOT-119</t>
        </is>
      </c>
    </row>
    <row r="121" ht="22" customHeight="1">
      <c r="A121" s="63" t="inlineStr">
        <is>
          <t>MMD-LOT-120</t>
        </is>
      </c>
      <c r="B121" s="53" t="inlineStr">
        <is>
          <t>Lote 1x POWERCON POWERCON 1.7 METROS</t>
        </is>
      </c>
      <c r="C121" s="53" t="inlineStr">
        <is>
          <t>POWERCON POWERCON</t>
        </is>
      </c>
      <c r="D121" s="53" t="n">
        <v>1</v>
      </c>
      <c r="E121" s="53" t="inlineStr">
        <is>
          <t>DISPONIVEL</t>
        </is>
      </c>
      <c r="F121" s="53" t="inlineStr"/>
      <c r="G121" s="53" t="inlineStr">
        <is>
          <t>https://mmd.app/l/MMD-LOT-120</t>
        </is>
      </c>
    </row>
    <row r="122" ht="22" customHeight="1">
      <c r="A122" s="136" t="inlineStr">
        <is>
          <t>MMD-LOT-121</t>
        </is>
      </c>
      <c r="B122" s="58" t="inlineStr">
        <is>
          <t>Lote 1x POWERCON POWERCON 1.8 METROS</t>
        </is>
      </c>
      <c r="C122" s="58" t="inlineStr">
        <is>
          <t>POWERCON POWERCON</t>
        </is>
      </c>
      <c r="D122" s="58" t="n">
        <v>1</v>
      </c>
      <c r="E122" s="58" t="inlineStr">
        <is>
          <t>DISPONIVEL</t>
        </is>
      </c>
      <c r="F122" s="58" t="inlineStr"/>
      <c r="G122" s="58" t="inlineStr">
        <is>
          <t>https://mmd.app/l/MMD-LOT-121</t>
        </is>
      </c>
    </row>
    <row r="123" ht="22" customHeight="1">
      <c r="A123" s="63" t="inlineStr">
        <is>
          <t>MMD-LOT-122</t>
        </is>
      </c>
      <c r="B123" s="53" t="inlineStr">
        <is>
          <t>Lote 2x POWERCON POWERCON 50cm</t>
        </is>
      </c>
      <c r="C123" s="53" t="inlineStr">
        <is>
          <t>POWERCON POWERCON</t>
        </is>
      </c>
      <c r="D123" s="53" t="n">
        <v>2</v>
      </c>
      <c r="E123" s="53" t="inlineStr">
        <is>
          <t>DISPONIVEL</t>
        </is>
      </c>
      <c r="F123" s="53" t="inlineStr"/>
      <c r="G123" s="53" t="inlineStr">
        <is>
          <t>https://mmd.app/l/MMD-LOT-122</t>
        </is>
      </c>
    </row>
    <row r="124" ht="22" customHeight="1">
      <c r="A124" s="136" t="inlineStr">
        <is>
          <t>MMD-LOT-123</t>
        </is>
      </c>
      <c r="B124" s="58" t="inlineStr">
        <is>
          <t>Lote 2x RCA P10 5M</t>
        </is>
      </c>
      <c r="C124" s="58" t="inlineStr">
        <is>
          <t>RCA P10</t>
        </is>
      </c>
      <c r="D124" s="58" t="n">
        <v>2</v>
      </c>
      <c r="E124" s="58" t="inlineStr">
        <is>
          <t>DISPONIVEL</t>
        </is>
      </c>
      <c r="F124" s="58" t="inlineStr"/>
      <c r="G124" s="58" t="inlineStr">
        <is>
          <t>https://mmd.app/l/MMD-LOT-123</t>
        </is>
      </c>
    </row>
    <row r="125" ht="22" customHeight="1">
      <c r="A125" s="63" t="inlineStr">
        <is>
          <t>MMD-LOT-124</t>
        </is>
      </c>
      <c r="B125" s="53" t="inlineStr">
        <is>
          <t>Lote 1x RCA RCA 1,0M</t>
        </is>
      </c>
      <c r="C125" s="53" t="inlineStr">
        <is>
          <t>RCA RCA</t>
        </is>
      </c>
      <c r="D125" s="53" t="n">
        <v>1</v>
      </c>
      <c r="E125" s="53" t="inlineStr">
        <is>
          <t>DISPONIVEL</t>
        </is>
      </c>
      <c r="F125" s="53" t="inlineStr"/>
      <c r="G125" s="53" t="inlineStr">
        <is>
          <t>https://mmd.app/l/MMD-LOT-124</t>
        </is>
      </c>
    </row>
    <row r="126" ht="22" customHeight="1">
      <c r="A126" s="136" t="inlineStr">
        <is>
          <t>MMD-LOT-125</t>
        </is>
      </c>
      <c r="B126" s="58" t="inlineStr">
        <is>
          <t>Lote 2x RCA RCA 1,3M</t>
        </is>
      </c>
      <c r="C126" s="58" t="inlineStr">
        <is>
          <t>RCA RCA</t>
        </is>
      </c>
      <c r="D126" s="58" t="n">
        <v>2</v>
      </c>
      <c r="E126" s="58" t="inlineStr">
        <is>
          <t>DISPONIVEL</t>
        </is>
      </c>
      <c r="F126" s="58" t="inlineStr"/>
      <c r="G126" s="58" t="inlineStr">
        <is>
          <t>https://mmd.app/l/MMD-LOT-125</t>
        </is>
      </c>
    </row>
    <row r="127" ht="22" customHeight="1">
      <c r="A127" s="63" t="inlineStr">
        <is>
          <t>MMD-LOT-126</t>
        </is>
      </c>
      <c r="B127" s="53" t="inlineStr">
        <is>
          <t>Lote 1x RCA RCA 12M</t>
        </is>
      </c>
      <c r="C127" s="53" t="inlineStr">
        <is>
          <t>RCA RCA</t>
        </is>
      </c>
      <c r="D127" s="53" t="n">
        <v>1</v>
      </c>
      <c r="E127" s="53" t="inlineStr">
        <is>
          <t>DISPONIVEL</t>
        </is>
      </c>
      <c r="F127" s="53" t="inlineStr"/>
      <c r="G127" s="53" t="inlineStr">
        <is>
          <t>https://mmd.app/l/MMD-LOT-126</t>
        </is>
      </c>
    </row>
    <row r="128" ht="22" customHeight="1">
      <c r="A128" s="136" t="inlineStr">
        <is>
          <t>MMD-LOT-127</t>
        </is>
      </c>
      <c r="B128" s="58" t="inlineStr">
        <is>
          <t>Lote 1x USB A MICRO USB B 50</t>
        </is>
      </c>
      <c r="C128" s="58" t="inlineStr">
        <is>
          <t>USB A MICRO USB B</t>
        </is>
      </c>
      <c r="D128" s="58" t="n">
        <v>1</v>
      </c>
      <c r="E128" s="58" t="inlineStr">
        <is>
          <t>DISPONIVEL</t>
        </is>
      </c>
      <c r="F128" s="58" t="inlineStr"/>
      <c r="G128" s="58" t="inlineStr">
        <is>
          <t>https://mmd.app/l/MMD-LOT-127</t>
        </is>
      </c>
    </row>
    <row r="129" ht="22" customHeight="1">
      <c r="A129" s="63" t="inlineStr">
        <is>
          <t>MMD-LOT-128</t>
        </is>
      </c>
      <c r="B129" s="53" t="inlineStr">
        <is>
          <t>Lote 1x USB A UCB C 1M</t>
        </is>
      </c>
      <c r="C129" s="53" t="inlineStr">
        <is>
          <t>USB USB</t>
        </is>
      </c>
      <c r="D129" s="53" t="n">
        <v>1</v>
      </c>
      <c r="E129" s="53" t="inlineStr">
        <is>
          <t>DISPONIVEL</t>
        </is>
      </c>
      <c r="F129" s="53" t="inlineStr"/>
      <c r="G129" s="53" t="inlineStr">
        <is>
          <t>https://mmd.app/l/MMD-LOT-128</t>
        </is>
      </c>
    </row>
    <row r="130" ht="22" customHeight="1">
      <c r="A130" s="136" t="inlineStr">
        <is>
          <t>MMD-LOT-129</t>
        </is>
      </c>
      <c r="B130" s="58" t="inlineStr">
        <is>
          <t>Lote 1x USB A USB A</t>
        </is>
      </c>
      <c r="C130" s="58" t="inlineStr">
        <is>
          <t>USB A USB A</t>
        </is>
      </c>
      <c r="D130" s="58" t="n">
        <v>1</v>
      </c>
      <c r="E130" s="58" t="inlineStr">
        <is>
          <t>DISPONIVEL</t>
        </is>
      </c>
      <c r="F130" s="58" t="inlineStr"/>
      <c r="G130" s="58" t="inlineStr">
        <is>
          <t>https://mmd.app/l/MMD-LOT-129</t>
        </is>
      </c>
    </row>
    <row r="131" ht="22" customHeight="1">
      <c r="A131" s="63" t="inlineStr">
        <is>
          <t>MMD-LOT-130</t>
        </is>
      </c>
      <c r="B131" s="53" t="inlineStr">
        <is>
          <t>Lote 1x USB CARREGADOR IPHONE 30PIN</t>
        </is>
      </c>
      <c r="C131" s="53" t="inlineStr">
        <is>
          <t>IPHONE 30 PIN</t>
        </is>
      </c>
      <c r="D131" s="53" t="n">
        <v>1</v>
      </c>
      <c r="E131" s="53" t="inlineStr">
        <is>
          <t>DISPONIVEL</t>
        </is>
      </c>
      <c r="F131" s="53" t="inlineStr"/>
      <c r="G131" s="53" t="inlineStr">
        <is>
          <t>https://mmd.app/l/MMD-LOT-130</t>
        </is>
      </c>
    </row>
    <row r="132" ht="22" customHeight="1">
      <c r="A132" s="136" t="inlineStr">
        <is>
          <t>MMD-LOT-131</t>
        </is>
      </c>
      <c r="B132" s="58" t="inlineStr">
        <is>
          <t>Lote 1x XLR P10 10M</t>
        </is>
      </c>
      <c r="C132" s="58" t="inlineStr">
        <is>
          <t>XLR P10</t>
        </is>
      </c>
      <c r="D132" s="58" t="n">
        <v>1</v>
      </c>
      <c r="E132" s="58" t="inlineStr">
        <is>
          <t>DISPONIVEL</t>
        </is>
      </c>
      <c r="F132" s="58" t="inlineStr"/>
      <c r="G132" s="58" t="inlineStr">
        <is>
          <t>https://mmd.app/l/MMD-LOT-131</t>
        </is>
      </c>
    </row>
    <row r="133" ht="22" customHeight="1">
      <c r="A133" s="63" t="inlineStr">
        <is>
          <t>MMD-LOT-132</t>
        </is>
      </c>
      <c r="B133" s="53" t="inlineStr">
        <is>
          <t>Lote 8x XLR P10 1M</t>
        </is>
      </c>
      <c r="C133" s="53" t="inlineStr">
        <is>
          <t>XLR P10</t>
        </is>
      </c>
      <c r="D133" s="53" t="n">
        <v>8</v>
      </c>
      <c r="E133" s="53" t="inlineStr">
        <is>
          <t>DISPONIVEL</t>
        </is>
      </c>
      <c r="F133" s="53" t="inlineStr"/>
      <c r="G133" s="53" t="inlineStr">
        <is>
          <t>https://mmd.app/l/MMD-LOT-132</t>
        </is>
      </c>
    </row>
    <row r="134" ht="22" customHeight="1">
      <c r="A134" s="136" t="inlineStr">
        <is>
          <t>MMD-LOT-133</t>
        </is>
      </c>
      <c r="B134" s="58" t="inlineStr">
        <is>
          <t>Lote 1x XLR P10 50CM</t>
        </is>
      </c>
      <c r="C134" s="58" t="inlineStr">
        <is>
          <t>XLR P10</t>
        </is>
      </c>
      <c r="D134" s="58" t="n">
        <v>1</v>
      </c>
      <c r="E134" s="58" t="inlineStr">
        <is>
          <t>DISPONIVEL</t>
        </is>
      </c>
      <c r="F134" s="58" t="inlineStr"/>
      <c r="G134" s="58" t="inlineStr">
        <is>
          <t>https://mmd.app/l/MMD-LOT-133</t>
        </is>
      </c>
    </row>
    <row r="135" ht="22" customHeight="1">
      <c r="A135" s="63" t="inlineStr">
        <is>
          <t>MMD-LOT-134</t>
        </is>
      </c>
      <c r="B135" s="53" t="inlineStr">
        <is>
          <t>Lote 2x XLR P10 5M</t>
        </is>
      </c>
      <c r="C135" s="53" t="inlineStr">
        <is>
          <t>XLR P10</t>
        </is>
      </c>
      <c r="D135" s="53" t="n">
        <v>2</v>
      </c>
      <c r="E135" s="53" t="inlineStr">
        <is>
          <t>DISPONIVEL</t>
        </is>
      </c>
      <c r="F135" s="53" t="inlineStr"/>
      <c r="G135" s="53" t="inlineStr">
        <is>
          <t>https://mmd.app/l/MMD-LOT-134</t>
        </is>
      </c>
    </row>
    <row r="136" ht="22" customHeight="1">
      <c r="A136" s="136" t="inlineStr">
        <is>
          <t>MMD-LOT-135</t>
        </is>
      </c>
      <c r="B136" s="58" t="inlineStr">
        <is>
          <t>Lote 2x XLR P10 70CM</t>
        </is>
      </c>
      <c r="C136" s="58" t="inlineStr">
        <is>
          <t>XLR P10</t>
        </is>
      </c>
      <c r="D136" s="58" t="n">
        <v>2</v>
      </c>
      <c r="E136" s="58" t="inlineStr">
        <is>
          <t>DISPONIVEL</t>
        </is>
      </c>
      <c r="F136" s="58" t="inlineStr"/>
      <c r="G136" s="58" t="inlineStr">
        <is>
          <t>https://mmd.app/l/MMD-LOT-135</t>
        </is>
      </c>
    </row>
    <row r="137" ht="22" customHeight="1">
      <c r="A137" s="63" t="inlineStr">
        <is>
          <t>MMD-LOT-136</t>
        </is>
      </c>
      <c r="B137" s="53" t="inlineStr">
        <is>
          <t>Lote 29x XLR XLR 1 METRO</t>
        </is>
      </c>
      <c r="C137" s="53" t="inlineStr">
        <is>
          <t>XLR</t>
        </is>
      </c>
      <c r="D137" s="53" t="n">
        <v>29</v>
      </c>
      <c r="E137" s="53" t="inlineStr">
        <is>
          <t>DISPONIVEL</t>
        </is>
      </c>
      <c r="F137" s="53" t="inlineStr"/>
      <c r="G137" s="53" t="inlineStr">
        <is>
          <t>https://mmd.app/l/MMD-LOT-136</t>
        </is>
      </c>
    </row>
    <row r="138" ht="22" customHeight="1">
      <c r="A138" s="136" t="inlineStr">
        <is>
          <t>MMD-LOT-137</t>
        </is>
      </c>
      <c r="B138" s="58" t="inlineStr">
        <is>
          <t>Lote 1x XLR XLR 1.4 METRO</t>
        </is>
      </c>
      <c r="C138" s="58" t="inlineStr">
        <is>
          <t>XLR</t>
        </is>
      </c>
      <c r="D138" s="58" t="n">
        <v>1</v>
      </c>
      <c r="E138" s="58" t="inlineStr">
        <is>
          <t>DISPONIVEL</t>
        </is>
      </c>
      <c r="F138" s="58" t="inlineStr"/>
      <c r="G138" s="58" t="inlineStr">
        <is>
          <t>https://mmd.app/l/MMD-LOT-137</t>
        </is>
      </c>
    </row>
    <row r="139" ht="22" customHeight="1">
      <c r="A139" s="63" t="inlineStr">
        <is>
          <t>MMD-LOT-138</t>
        </is>
      </c>
      <c r="B139" s="53" t="inlineStr">
        <is>
          <t>Lote 7x XLR XLR 2 METROS</t>
        </is>
      </c>
      <c r="C139" s="53" t="inlineStr">
        <is>
          <t>XLR</t>
        </is>
      </c>
      <c r="D139" s="53" t="n">
        <v>7</v>
      </c>
      <c r="E139" s="53" t="inlineStr">
        <is>
          <t>DISPONIVEL</t>
        </is>
      </c>
      <c r="F139" s="53" t="inlineStr"/>
      <c r="G139" s="53" t="inlineStr">
        <is>
          <t>https://mmd.app/l/MMD-LOT-138</t>
        </is>
      </c>
    </row>
    <row r="140" ht="22" customHeight="1">
      <c r="A140" s="136" t="inlineStr">
        <is>
          <t>MMD-LOT-139</t>
        </is>
      </c>
      <c r="B140" s="58" t="inlineStr">
        <is>
          <t>Lote 5x XLR XLR 20CM</t>
        </is>
      </c>
      <c r="C140" s="58" t="inlineStr">
        <is>
          <t>XLR</t>
        </is>
      </c>
      <c r="D140" s="58" t="n">
        <v>5</v>
      </c>
      <c r="E140" s="58" t="inlineStr">
        <is>
          <t>DISPONIVEL</t>
        </is>
      </c>
      <c r="F140" s="58" t="inlineStr"/>
      <c r="G140" s="58" t="inlineStr">
        <is>
          <t>https://mmd.app/l/MMD-LOT-139</t>
        </is>
      </c>
    </row>
    <row r="141" ht="22" customHeight="1">
      <c r="A141" s="63" t="inlineStr">
        <is>
          <t>MMD-LOT-140</t>
        </is>
      </c>
      <c r="B141" s="53" t="inlineStr">
        <is>
          <t>Lote 13x XLR XLR 3 METROS</t>
        </is>
      </c>
      <c r="C141" s="53" t="inlineStr">
        <is>
          <t>XLR</t>
        </is>
      </c>
      <c r="D141" s="53" t="n">
        <v>13</v>
      </c>
      <c r="E141" s="53" t="inlineStr">
        <is>
          <t>DISPONIVEL</t>
        </is>
      </c>
      <c r="F141" s="53" t="inlineStr"/>
      <c r="G141" s="53" t="inlineStr">
        <is>
          <t>https://mmd.app/l/MMD-LOT-140</t>
        </is>
      </c>
    </row>
    <row r="142" ht="22" customHeight="1">
      <c r="A142" s="136" t="inlineStr">
        <is>
          <t>MMD-LOT-141</t>
        </is>
      </c>
      <c r="B142" s="58" t="inlineStr">
        <is>
          <t>Lote 1x XLR XLR 35CM</t>
        </is>
      </c>
      <c r="C142" s="58" t="inlineStr">
        <is>
          <t>XLR</t>
        </is>
      </c>
      <c r="D142" s="58" t="n">
        <v>1</v>
      </c>
      <c r="E142" s="58" t="inlineStr">
        <is>
          <t>DISPONIVEL</t>
        </is>
      </c>
      <c r="F142" s="58" t="inlineStr"/>
      <c r="G142" s="58" t="inlineStr">
        <is>
          <t>https://mmd.app/l/MMD-LOT-141</t>
        </is>
      </c>
    </row>
    <row r="143" ht="22" customHeight="1">
      <c r="A143" s="63" t="inlineStr">
        <is>
          <t>MMD-LOT-142</t>
        </is>
      </c>
      <c r="B143" s="53" t="inlineStr">
        <is>
          <t>Lote 3x XLR XLR 4 METROS</t>
        </is>
      </c>
      <c r="C143" s="53" t="inlineStr">
        <is>
          <t>XLR</t>
        </is>
      </c>
      <c r="D143" s="53" t="n">
        <v>3</v>
      </c>
      <c r="E143" s="53" t="inlineStr">
        <is>
          <t>DISPONIVEL</t>
        </is>
      </c>
      <c r="F143" s="53" t="inlineStr"/>
      <c r="G143" s="53" t="inlineStr">
        <is>
          <t>https://mmd.app/l/MMD-LOT-142</t>
        </is>
      </c>
    </row>
    <row r="144" ht="22" customHeight="1">
      <c r="A144" s="136" t="inlineStr">
        <is>
          <t>MMD-LOT-143</t>
        </is>
      </c>
      <c r="B144" s="58" t="inlineStr">
        <is>
          <t>Lote 7x XLR XLR 10M</t>
        </is>
      </c>
      <c r="C144" s="58" t="inlineStr">
        <is>
          <t>XLR</t>
        </is>
      </c>
      <c r="D144" s="58" t="n">
        <v>7</v>
      </c>
      <c r="E144" s="58" t="inlineStr">
        <is>
          <t>DISPONIVEL</t>
        </is>
      </c>
      <c r="F144" s="58" t="inlineStr"/>
      <c r="G144" s="58" t="inlineStr">
        <is>
          <t>https://mmd.app/l/MMD-LOT-143</t>
        </is>
      </c>
    </row>
    <row r="145" ht="22" customHeight="1">
      <c r="A145" s="63" t="inlineStr">
        <is>
          <t>MMD-LOT-144</t>
        </is>
      </c>
      <c r="B145" s="53" t="inlineStr">
        <is>
          <t>Lote 1x XLR XLR 30M</t>
        </is>
      </c>
      <c r="C145" s="53" t="inlineStr">
        <is>
          <t>XLR</t>
        </is>
      </c>
      <c r="D145" s="53" t="n">
        <v>1</v>
      </c>
      <c r="E145" s="53" t="inlineStr">
        <is>
          <t>DISPONIVEL</t>
        </is>
      </c>
      <c r="F145" s="53" t="inlineStr"/>
      <c r="G145" s="53" t="inlineStr">
        <is>
          <t>https://mmd.app/l/MMD-LOT-144</t>
        </is>
      </c>
    </row>
    <row r="146" ht="22" customHeight="1">
      <c r="A146" s="136" t="inlineStr">
        <is>
          <t>MMD-LOT-145</t>
        </is>
      </c>
      <c r="B146" s="58" t="inlineStr">
        <is>
          <t>Lote 14x XLR XLR 5M</t>
        </is>
      </c>
      <c r="C146" s="58" t="inlineStr">
        <is>
          <t>XLR</t>
        </is>
      </c>
      <c r="D146" s="58" t="n">
        <v>14</v>
      </c>
      <c r="E146" s="58" t="inlineStr">
        <is>
          <t>DISPONIVEL</t>
        </is>
      </c>
      <c r="F146" s="58" t="inlineStr"/>
      <c r="G146" s="58" t="inlineStr">
        <is>
          <t>https://mmd.app/l/MMD-LOT-145</t>
        </is>
      </c>
    </row>
    <row r="147" ht="22" customHeight="1">
      <c r="A147" s="63" t="inlineStr">
        <is>
          <t>MMD-LOT-146</t>
        </is>
      </c>
      <c r="B147" s="53" t="inlineStr">
        <is>
          <t>Lote 4x XLR XLR 6M</t>
        </is>
      </c>
      <c r="C147" s="53" t="inlineStr">
        <is>
          <t>XLR</t>
        </is>
      </c>
      <c r="D147" s="53" t="n">
        <v>4</v>
      </c>
      <c r="E147" s="53" t="inlineStr">
        <is>
          <t>DISPONIVEL</t>
        </is>
      </c>
      <c r="F147" s="53" t="inlineStr"/>
      <c r="G147" s="53" t="inlineStr">
        <is>
          <t>https://mmd.app/l/MMD-LOT-146</t>
        </is>
      </c>
    </row>
    <row r="148" ht="22" customHeight="1">
      <c r="A148" s="136" t="inlineStr">
        <is>
          <t>MMD-LOT-147</t>
        </is>
      </c>
      <c r="B148" s="58" t="inlineStr">
        <is>
          <t>Lote 1x XLR XLR 7M</t>
        </is>
      </c>
      <c r="C148" s="58" t="inlineStr">
        <is>
          <t>XLR</t>
        </is>
      </c>
      <c r="D148" s="58" t="n">
        <v>1</v>
      </c>
      <c r="E148" s="58" t="inlineStr">
        <is>
          <t>DISPONIVEL</t>
        </is>
      </c>
      <c r="F148" s="58" t="inlineStr"/>
      <c r="G148" s="58" t="inlineStr">
        <is>
          <t>https://mmd.app/l/MMD-LOT-147</t>
        </is>
      </c>
    </row>
    <row r="149" ht="22" customHeight="1">
      <c r="A149" s="63" t="inlineStr">
        <is>
          <t>MMD-LOT-148</t>
        </is>
      </c>
      <c r="B149" s="53" t="inlineStr">
        <is>
          <t>Lote 3x XLR XLR 8M</t>
        </is>
      </c>
      <c r="C149" s="53" t="inlineStr">
        <is>
          <t>XLR</t>
        </is>
      </c>
      <c r="D149" s="53" t="n">
        <v>3</v>
      </c>
      <c r="E149" s="53" t="inlineStr">
        <is>
          <t>DISPONIVEL</t>
        </is>
      </c>
      <c r="F149" s="53" t="inlineStr"/>
      <c r="G149" s="53" t="inlineStr">
        <is>
          <t>https://mmd.app/l/MMD-LOT-148</t>
        </is>
      </c>
    </row>
    <row r="150" ht="22" customHeight="1">
      <c r="A150" s="136" t="inlineStr">
        <is>
          <t>MMD-LOT-149</t>
        </is>
      </c>
      <c r="B150" s="58" t="inlineStr">
        <is>
          <t>Lote 4x XLR XLR 9M</t>
        </is>
      </c>
      <c r="C150" s="58" t="inlineStr">
        <is>
          <t>XLR</t>
        </is>
      </c>
      <c r="D150" s="58" t="n">
        <v>4</v>
      </c>
      <c r="E150" s="58" t="inlineStr">
        <is>
          <t>DISPONIVEL</t>
        </is>
      </c>
      <c r="F150" s="58" t="inlineStr"/>
      <c r="G150" s="58" t="inlineStr">
        <is>
          <t>https://mmd.app/l/MMD-LOT-149</t>
        </is>
      </c>
    </row>
    <row r="151" ht="22" customHeight="1">
      <c r="A151" s="63" t="inlineStr">
        <is>
          <t>MMD-LOT-150</t>
        </is>
      </c>
      <c r="B151" s="53" t="inlineStr">
        <is>
          <t>Lote 2x XLRm USC C 3M</t>
        </is>
      </c>
      <c r="C151" s="53" t="inlineStr">
        <is>
          <t>XLRM USB C</t>
        </is>
      </c>
      <c r="D151" s="53" t="n">
        <v>2</v>
      </c>
      <c r="E151" s="53" t="inlineStr">
        <is>
          <t>DISPONIVEL</t>
        </is>
      </c>
      <c r="F151" s="53" t="inlineStr"/>
      <c r="G151" s="53" t="inlineStr">
        <is>
          <t>https://mmd.app/l/MMD-LOT-150</t>
        </is>
      </c>
    </row>
    <row r="152" ht="22" customHeight="1">
      <c r="A152" s="136" t="inlineStr">
        <is>
          <t>MMD-LOT-151</t>
        </is>
      </c>
      <c r="B152" s="58" t="inlineStr">
        <is>
          <t>Lote 1x Apple USB CARREGADOR IPHONE 30PIN</t>
        </is>
      </c>
      <c r="C152" s="58" t="inlineStr">
        <is>
          <t>IPHONE 30 PIN</t>
        </is>
      </c>
      <c r="D152" s="58" t="n">
        <v>1</v>
      </c>
      <c r="E152" s="58" t="inlineStr">
        <is>
          <t>DISPONIVEL</t>
        </is>
      </c>
      <c r="F152" s="58" t="inlineStr"/>
      <c r="G152" s="58" t="inlineStr">
        <is>
          <t>https://mmd.app/l/MMD-LOT-151</t>
        </is>
      </c>
    </row>
    <row r="153" ht="22" customHeight="1">
      <c r="A153" s="63" t="inlineStr">
        <is>
          <t>MMD-LOT-152</t>
        </is>
      </c>
      <c r="B153" s="53" t="inlineStr">
        <is>
          <t>Lote 1x Hayonik Hayonik</t>
        </is>
      </c>
      <c r="C153" s="53" t="inlineStr">
        <is>
          <t>EXTENSOR</t>
        </is>
      </c>
      <c r="D153" s="53" t="n">
        <v>1</v>
      </c>
      <c r="E153" s="53" t="inlineStr">
        <is>
          <t>DISPONIVEL</t>
        </is>
      </c>
      <c r="F153" s="53" t="inlineStr"/>
      <c r="G153" s="53" t="inlineStr">
        <is>
          <t>https://mmd.app/l/MMD-LOT-152</t>
        </is>
      </c>
    </row>
  </sheetData>
  <autoFilter ref="A1:G1"/>
  <conditionalFormatting sqref="E2:E252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4748B"/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0" customWidth="1" min="4" max="4"/>
    <col width="22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6" customWidth="1" min="11" max="11"/>
    <col width="10" customWidth="1" min="12" max="12"/>
    <col width="36" customWidth="1" min="13" max="13"/>
    <col width="30" customWidth="1" min="14" max="14"/>
  </cols>
  <sheetData>
    <row r="1" ht="28" customHeight="1">
      <c r="A1" s="91" t="inlineStr">
        <is>
          <t>Codigo</t>
        </is>
      </c>
      <c r="B1" s="91" t="inlineStr">
        <is>
          <t>Nome</t>
        </is>
      </c>
      <c r="C1" s="91" t="inlineStr">
        <is>
          <t>Marca</t>
        </is>
      </c>
      <c r="D1" s="91" t="inlineStr">
        <is>
          <t>Subcategoria</t>
        </is>
      </c>
      <c r="E1" s="91" t="inlineStr">
        <is>
          <t>Serial Fab.</t>
        </is>
      </c>
      <c r="F1" s="91" t="inlineStr">
        <is>
          <t>Tag RFID</t>
        </is>
      </c>
      <c r="G1" s="91" t="inlineStr">
        <is>
          <t>Status</t>
        </is>
      </c>
      <c r="H1" s="91" t="inlineStr">
        <is>
          <t>Estado</t>
        </is>
      </c>
      <c r="I1" s="91" t="inlineStr">
        <is>
          <t>Desgaste</t>
        </is>
      </c>
      <c r="J1" s="91" t="inlineStr">
        <is>
          <t>Valor Original</t>
        </is>
      </c>
      <c r="K1" s="91" t="inlineStr">
        <is>
          <t>Valor Atual</t>
        </is>
      </c>
      <c r="L1" s="91" t="inlineStr">
        <is>
          <t>Deprec.%</t>
        </is>
      </c>
      <c r="M1" s="91" t="inlineStr">
        <is>
          <t>Notas</t>
        </is>
      </c>
      <c r="N1" s="91" t="inlineStr">
        <is>
          <t>Motivo</t>
        </is>
      </c>
    </row>
    <row r="2" ht="22" customHeight="1">
      <c r="A2" s="137" t="inlineStr">
        <is>
          <t>8 itens   |   Valor: R$ 24.090,78   |   Desgaste medio: 2,6/5</t>
        </is>
      </c>
      <c r="B2" s="58" t="inlineStr">
        <is>
          <t>LI2400 LEACS</t>
        </is>
      </c>
      <c r="C2" s="58" t="inlineStr">
        <is>
          <t>Leacs</t>
        </is>
      </c>
      <c r="D2" s="58" t="inlineStr">
        <is>
          <t>AMP</t>
        </is>
      </c>
      <c r="E2" s="58" t="inlineStr">
        <is>
          <t>280893</t>
        </is>
      </c>
      <c r="F2" s="58" t="inlineStr"/>
      <c r="G2" s="58" t="inlineStr">
        <is>
          <t>EMPRESTADO</t>
        </is>
      </c>
      <c r="H2" s="58" t="inlineStr">
        <is>
          <t>USADO</t>
        </is>
      </c>
      <c r="I2" s="95" t="inlineStr">
        <is>
          <t>★★☆☆☆</t>
        </is>
      </c>
      <c r="J2" s="142" t="n">
        <v>2473.88</v>
      </c>
      <c r="K2" s="143" t="n">
        <v>643.21</v>
      </c>
      <c r="L2" s="62" t="n">
        <v>26</v>
      </c>
      <c r="M2" s="99" t="inlineStr"/>
      <c r="N2" s="58" t="inlineStr">
        <is>
          <t>Emprestado - Seu Bigode</t>
        </is>
      </c>
    </row>
    <row r="3" ht="36" customHeight="1">
      <c r="A3" s="138" t="inlineStr">
        <is>
          <t>MMD-AUD-0034</t>
        </is>
      </c>
      <c r="B3" s="53" t="inlineStr">
        <is>
          <t>K8/K10</t>
        </is>
      </c>
      <c r="C3" s="53" t="inlineStr">
        <is>
          <t>QSC</t>
        </is>
      </c>
      <c r="D3" s="53" t="inlineStr">
        <is>
          <t>CAIXA SOM</t>
        </is>
      </c>
      <c r="E3" s="53" t="inlineStr">
        <is>
          <t>GAB531183</t>
        </is>
      </c>
      <c r="F3" s="53" t="inlineStr"/>
      <c r="G3" s="53" t="inlineStr">
        <is>
          <t>VENDIDO</t>
        </is>
      </c>
      <c r="H3" s="53" t="inlineStr">
        <is>
          <t>USADO</t>
        </is>
      </c>
      <c r="I3" s="95" t="inlineStr">
        <is>
          <t>★★☆☆☆</t>
        </is>
      </c>
      <c r="J3" s="141" t="n">
        <v>10710</v>
      </c>
      <c r="K3" s="143" t="n">
        <v>10710</v>
      </c>
      <c r="L3" s="57">
        <f>IF(J3&gt;0,(J3-K3)/J3,"")</f>
        <v/>
      </c>
      <c r="M3" s="102" t="inlineStr">
        <is>
          <t>Vendida para ALT BAR</t>
        </is>
      </c>
      <c r="N3" s="53" t="inlineStr">
        <is>
          <t>Vendida para ALT BAR</t>
        </is>
      </c>
    </row>
    <row r="4" ht="22" customHeight="1">
      <c r="A4" s="137" t="inlineStr">
        <is>
          <t>MMD-AUD-0035</t>
        </is>
      </c>
      <c r="B4" s="58" t="inlineStr">
        <is>
          <t>CA-1000</t>
        </is>
      </c>
      <c r="C4" s="58" t="inlineStr">
        <is>
          <t>Mark Audio</t>
        </is>
      </c>
      <c r="D4" s="58" t="inlineStr">
        <is>
          <t>CAIXA SOM</t>
        </is>
      </c>
      <c r="E4" s="58" t="inlineStr"/>
      <c r="F4" s="58" t="inlineStr"/>
      <c r="G4" s="58" t="inlineStr">
        <is>
          <t>EMPRESTADO</t>
        </is>
      </c>
      <c r="H4" s="58" t="inlineStr">
        <is>
          <t>USADO</t>
        </is>
      </c>
      <c r="I4" s="103" t="inlineStr">
        <is>
          <t>★★★☆☆</t>
        </is>
      </c>
      <c r="J4" s="142" t="n">
        <v>850</v>
      </c>
      <c r="K4" s="143" t="n">
        <v>850</v>
      </c>
      <c r="L4" s="62">
        <f>IF(J4&gt;0,(J4-K4)/J4,"")</f>
        <v/>
      </c>
      <c r="M4" s="99" t="inlineStr"/>
      <c r="N4" s="58" t="inlineStr">
        <is>
          <t>Emprestado - Seu Bigode</t>
        </is>
      </c>
    </row>
    <row r="5" ht="22" customHeight="1">
      <c r="A5" s="138" t="inlineStr">
        <is>
          <t>MMD-AUD-0037</t>
        </is>
      </c>
      <c r="B5" s="53" t="inlineStr">
        <is>
          <t>CA-1000</t>
        </is>
      </c>
      <c r="C5" s="53" t="inlineStr">
        <is>
          <t>Mark Audio</t>
        </is>
      </c>
      <c r="D5" s="53" t="inlineStr">
        <is>
          <t>CAIXA SOM</t>
        </is>
      </c>
      <c r="E5" s="53" t="inlineStr"/>
      <c r="F5" s="53" t="inlineStr"/>
      <c r="G5" s="53" t="inlineStr">
        <is>
          <t>EMPRESTADO</t>
        </is>
      </c>
      <c r="H5" s="53" t="inlineStr">
        <is>
          <t>USADO</t>
        </is>
      </c>
      <c r="I5" s="103" t="inlineStr">
        <is>
          <t>★★★☆☆</t>
        </is>
      </c>
      <c r="J5" s="141" t="n">
        <v>850</v>
      </c>
      <c r="K5" s="143" t="n">
        <v>850</v>
      </c>
      <c r="L5" s="57">
        <f>IF(J5&gt;0,(J5-K5)/J5,"")</f>
        <v/>
      </c>
      <c r="M5" s="102" t="inlineStr"/>
      <c r="N5" s="53" t="inlineStr">
        <is>
          <t>Emprestado - Seu Bigode</t>
        </is>
      </c>
    </row>
    <row r="6" ht="36" customHeight="1">
      <c r="A6" s="137" t="inlineStr">
        <is>
          <t>MMD-AUD-0048</t>
        </is>
      </c>
      <c r="B6" s="58" t="inlineStr">
        <is>
          <t>SUPER-X PRO MODEL CX3400</t>
        </is>
      </c>
      <c r="C6" s="58" t="inlineStr">
        <is>
          <t>Behringer</t>
        </is>
      </c>
      <c r="D6" s="58" t="inlineStr">
        <is>
          <t>CROSSOVER</t>
        </is>
      </c>
      <c r="E6" s="58" t="inlineStr">
        <is>
          <t>N1003860100</t>
        </is>
      </c>
      <c r="F6" s="58" t="inlineStr"/>
      <c r="G6" s="58" t="inlineStr">
        <is>
          <t>EMPRESTADO</t>
        </is>
      </c>
      <c r="H6" s="58" t="inlineStr">
        <is>
          <t>USADO</t>
        </is>
      </c>
      <c r="I6" s="103" t="inlineStr">
        <is>
          <t>★★★☆☆</t>
        </is>
      </c>
      <c r="J6" s="142" t="n">
        <v>1998</v>
      </c>
      <c r="K6" s="143" t="n">
        <v>1593</v>
      </c>
      <c r="L6" s="62">
        <f>IF(J6&gt;0,(J6-K6)/J6,"")</f>
        <v/>
      </c>
      <c r="M6" s="99" t="inlineStr">
        <is>
          <t>Serial Fab.: DATE CODE 1005</t>
        </is>
      </c>
      <c r="N6" s="58" t="inlineStr">
        <is>
          <t>Emprestado - Seu Bigode</t>
        </is>
      </c>
    </row>
    <row r="7" ht="22" customHeight="1">
      <c r="A7" s="138" t="inlineStr">
        <is>
          <t>MMD-AUD-0100</t>
        </is>
      </c>
      <c r="B7" s="53" t="inlineStr">
        <is>
          <t>PHENIX PRO PTU-7000 RECEIVER</t>
        </is>
      </c>
      <c r="C7" s="53" t="inlineStr">
        <is>
          <t>Phenyx Pro</t>
        </is>
      </c>
      <c r="D7" s="53" t="inlineStr">
        <is>
          <t>MIC S/ FIO</t>
        </is>
      </c>
      <c r="E7" s="53" t="inlineStr">
        <is>
          <t>XFYU730515</t>
        </is>
      </c>
      <c r="F7" s="53" t="inlineStr"/>
      <c r="G7" s="53" t="inlineStr">
        <is>
          <t>VENDIDO</t>
        </is>
      </c>
      <c r="H7" s="53" t="inlineStr">
        <is>
          <t>USADO</t>
        </is>
      </c>
      <c r="I7" s="103" t="inlineStr">
        <is>
          <t>★★★☆☆</t>
        </is>
      </c>
      <c r="J7" s="141" t="n">
        <v>1117</v>
      </c>
      <c r="K7" s="143" t="n">
        <v>1117</v>
      </c>
      <c r="L7" s="57">
        <f>IF(J7&gt;0,(J7-K7)/J7,"")</f>
        <v/>
      </c>
      <c r="M7" s="102" t="inlineStr"/>
      <c r="N7" s="53" t="inlineStr">
        <is>
          <t>Vendido</t>
        </is>
      </c>
    </row>
    <row r="8" ht="36" customHeight="1">
      <c r="A8" s="137" t="inlineStr">
        <is>
          <t>MMD-AUD-0131</t>
        </is>
      </c>
      <c r="B8" s="58" t="inlineStr">
        <is>
          <t>15'' - PASSIVE</t>
        </is>
      </c>
      <c r="C8" s="58" t="inlineStr">
        <is>
          <t>Soundbox</t>
        </is>
      </c>
      <c r="D8" s="58" t="inlineStr">
        <is>
          <t>SUB</t>
        </is>
      </c>
      <c r="E8" s="58" t="inlineStr">
        <is>
          <t>14377</t>
        </is>
      </c>
      <c r="F8" s="58" t="inlineStr"/>
      <c r="G8" s="58" t="inlineStr">
        <is>
          <t>EMPRESTADO</t>
        </is>
      </c>
      <c r="H8" s="58" t="inlineStr">
        <is>
          <t>USADO</t>
        </is>
      </c>
      <c r="I8" s="103" t="inlineStr">
        <is>
          <t>★★★☆☆</t>
        </is>
      </c>
      <c r="J8" s="142" t="n">
        <v>5325.88</v>
      </c>
      <c r="K8" s="143" t="n">
        <v>5325.88</v>
      </c>
      <c r="L8" s="62">
        <f>IF(J8&gt;0,(J8-K8)/J8,"")</f>
        <v/>
      </c>
      <c r="M8" s="99" t="inlineStr">
        <is>
          <t>Serial Fab.: ZERO</t>
        </is>
      </c>
      <c r="N8" s="58" t="inlineStr">
        <is>
          <t>Emprestado - Seu Bigode</t>
        </is>
      </c>
    </row>
    <row r="9" ht="22" customHeight="1">
      <c r="A9" s="138" t="inlineStr">
        <is>
          <t>MMD-AUD-0132</t>
        </is>
      </c>
      <c r="B9" s="53" t="inlineStr">
        <is>
          <t>SWA1501</t>
        </is>
      </c>
      <c r="C9" s="53" t="inlineStr">
        <is>
          <t>Mackie</t>
        </is>
      </c>
      <c r="D9" s="53" t="inlineStr">
        <is>
          <t>SUB</t>
        </is>
      </c>
      <c r="E9" s="53" t="inlineStr">
        <is>
          <t>(21)EX14729</t>
        </is>
      </c>
      <c r="F9" s="53" t="inlineStr"/>
      <c r="G9" s="53" t="inlineStr">
        <is>
          <t>VENDIDO</t>
        </is>
      </c>
      <c r="H9" s="53" t="inlineStr">
        <is>
          <t>USADO</t>
        </is>
      </c>
      <c r="I9" s="103" t="inlineStr">
        <is>
          <t>★★★☆☆</t>
        </is>
      </c>
      <c r="J9" s="141" t="n">
        <v>3000</v>
      </c>
      <c r="K9" s="143" t="n">
        <v>3000</v>
      </c>
      <c r="L9" s="57">
        <f>IF(J9&gt;0,(J9-K9)/J9,"")</f>
        <v/>
      </c>
      <c r="M9" s="102" t="inlineStr"/>
      <c r="N9" s="53" t="inlineStr">
        <is>
          <t>Vendido</t>
        </is>
      </c>
    </row>
    <row r="10" ht="22" customHeight="1">
      <c r="A10" s="137" t="inlineStr">
        <is>
          <t>MMD-EFE-0014</t>
        </is>
      </c>
      <c r="B10" s="58" t="inlineStr">
        <is>
          <t>Globo espelhado com motor</t>
        </is>
      </c>
      <c r="C10" s="58" t="inlineStr"/>
      <c r="D10" s="58" t="inlineStr">
        <is>
          <t>GLOBO</t>
        </is>
      </c>
      <c r="E10" s="58" t="inlineStr"/>
      <c r="F10" s="58" t="inlineStr"/>
      <c r="G10" s="58" t="inlineStr">
        <is>
          <t>BAIXA</t>
        </is>
      </c>
      <c r="H10" s="58" t="inlineStr">
        <is>
          <t>USADO</t>
        </is>
      </c>
      <c r="I10" s="111" t="inlineStr">
        <is>
          <t>★☆☆☆☆</t>
        </is>
      </c>
      <c r="J10" s="142" t="n">
        <v>239.9</v>
      </c>
      <c r="K10" s="143" t="n">
        <v>331.55</v>
      </c>
      <c r="L10" s="62">
        <f>IF(J10&gt;0,(J10-K10)/J10,"")</f>
        <v/>
      </c>
      <c r="M10" s="99" t="inlineStr"/>
      <c r="N10" s="58" t="inlineStr">
        <is>
          <t>Quebrado</t>
        </is>
      </c>
    </row>
  </sheetData>
  <conditionalFormatting sqref="G2:G109">
    <cfRule type="cellIs" priority="1" operator="equal" dxfId="0">
      <formula>"DISPONIVEL"</formula>
    </cfRule>
    <cfRule type="cellIs" priority="2" operator="equal" dxfId="1">
      <formula>"PACKED"</formula>
    </cfRule>
    <cfRule type="cellIs" priority="3" operator="equal" dxfId="2">
      <formula>"EM_CAMPO"</formula>
    </cfRule>
    <cfRule type="cellIs" priority="4" operator="equal" dxfId="3">
      <formula>"MANUTENCAO"</formula>
    </cfRule>
    <cfRule type="cellIs" priority="5" operator="equal" dxfId="4">
      <formula>"EMPRESTADO"</formula>
    </cfRule>
    <cfRule type="cellIs" priority="6" operator="equal" dxfId="5">
      <formula>"VENDIDO"</formula>
    </cfRule>
    <cfRule type="cellIs" priority="7" operator="equal" dxfId="5">
      <formula>"BAIXA"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2026-04-03T18:35:03Z</dcterms:created>
  <dcterms:modified xsi:type="dcterms:W3CDTF">2026-04-03T21:25:00Z</dcterms:modified>
</cp:coreProperties>
</file>