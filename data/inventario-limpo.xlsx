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NUAL" sheetId="1" r:id="rId4"/>
    <sheet state="visible" name="DASHBOARD" sheetId="2" r:id="rId5"/>
    <sheet state="visible" name="ILUMINACAO" sheetId="3" r:id="rId6"/>
    <sheet state="visible" name="AUDIO" sheetId="4" r:id="rId7"/>
    <sheet state="visible" name="ENERGIA" sheetId="5" r:id="rId8"/>
    <sheet state="visible" name="ESTRUTURA" sheetId="6" r:id="rId9"/>
    <sheet state="visible" name="EFEITO" sheetId="7" r:id="rId10"/>
    <sheet state="visible" name="VIDEO" sheetId="8" r:id="rId11"/>
    <sheet state="visible" name="ACESSORIO" sheetId="9" r:id="rId12"/>
    <sheet state="visible" name="LOTES" sheetId="10" r:id="rId13"/>
    <sheet state="visible" name="FORA DE OPERACAO" sheetId="11" r:id="rId14"/>
  </sheets>
  <definedNames>
    <definedName hidden="1" localSheetId="2" name="_xlnm._FilterDatabase">ILUMINACAO!$A$4:$M$4</definedName>
    <definedName hidden="1" localSheetId="3" name="_xlnm._FilterDatabase">AUDIO!$A$4:$M$4</definedName>
    <definedName hidden="1" localSheetId="4" name="_xlnm._FilterDatabase">ENERGIA!$A$4:$M$4</definedName>
    <definedName hidden="1" localSheetId="5" name="_xlnm._FilterDatabase">ESTRUTURA!$A$4:$M$4</definedName>
    <definedName hidden="1" localSheetId="6" name="_xlnm._FilterDatabase">EFEITO!$A$4:$M$4</definedName>
    <definedName hidden="1" localSheetId="7" name="_xlnm._FilterDatabase">VIDEO!$A$4:$M$4</definedName>
    <definedName hidden="1" localSheetId="8" name="_xlnm._FilterDatabase">ACESSORIO!$A$4:$M$4</definedName>
    <definedName hidden="1" localSheetId="9" name="_xlnm._FilterDatabase">LOTES!$A$1:$G$1</definedName>
  </definedNames>
  <calcPr/>
  <extLst>
    <ext uri="GoogleSheetsCustomDataVersion2">
      <go:sheetsCustomData xmlns:go="http://customooxmlschemas.google.com/" r:id="rId15" roundtripDataChecksum="XKqmnfJquW/Hp3MAdnSPnBkDT+j8Q4oHyBIxphPlqo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29">
      <text>
        <t xml:space="preserve">======
ID#AAAB29ovMPM
MMD    (2026-04-03 21:41:51)
MODELL EVENTOS 0418</t>
      </text>
    </comment>
  </commentList>
  <extLst>
    <ext uri="GoogleSheetsCustomDataVersion2">
      <go:sheetsCustomData xmlns:go="http://customooxmlschemas.google.com/" r:id="rId1" roundtripDataSignature="AMtx7mjYTDxDPASPdbp6XQJLeuf92vRs7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08">
      <text>
        <t xml:space="preserve">======
ID#AAAB29ovMPU
MMD    (2026-04-03 21:41:51)
0420617199 / 328H3187218 / 1602</t>
      </text>
    </comment>
    <comment authorId="0" ref="M129">
      <text>
        <t xml:space="preserve">======
ID#AAAB29ovMPY
MMD    (2026-04-03 21:41:51)
*BOX COM 04 CHANNEL UHF WIRELESS RECEIVER / 04 ANTENNAS / 04 UHF WIRELESS BODYPACK TRANSMITTERS / 04 BLACK COLOR WIRELESS HEADSET MICROPHONES / PILHA / POWER ADAPTER / 6.5 MM AUDIO CABLE | Serial Fab.: NA CAIXA O CODIGO</t>
      </text>
    </comment>
    <comment authorId="0" ref="M37">
      <text>
        <t xml:space="preserve">======
ID#AAAB29ovMPI
MMD    (2026-04-03 21:41:51)
*Comprou quarta, 02/10/24. | Serial Fab.: etiqueta riscada no final</t>
      </text>
    </comment>
    <comment authorId="0" ref="M11">
      <text>
        <t xml:space="preserve">======
ID#AAAB29ovMPQ
MMD    (2026-04-03 21:41:51)
** MUITO PESADO - NAO CONSEGUI VER ATRAS | Serial Fab.: 4 ZEROS</t>
      </text>
    </comment>
  </commentList>
  <extLst>
    <ext uri="GoogleSheetsCustomDataVersion2">
      <go:sheetsCustomData xmlns:go="http://customooxmlschemas.google.com/" r:id="rId1" roundtripDataSignature="AMtx7miUKPPBoJJAyVTZqlUnZQnM3hQ2gQ=="/>
    </ext>
  </extLst>
</comments>
</file>

<file path=xl/sharedStrings.xml><?xml version="1.0" encoding="utf-8"?>
<sst xmlns="http://schemas.openxmlformats.org/spreadsheetml/2006/main" count="4890" uniqueCount="1866">
  <si>
    <t>MMD EVENTOS</t>
  </si>
  <si>
    <t>INVENTARIO INTELIGENTE  —  MANUAL DE USO</t>
  </si>
  <si>
    <t xml:space="preserve">  Atualizado em 03/04/2026</t>
  </si>
  <si>
    <t xml:space="preserve">  NAVEGACAO</t>
  </si>
  <si>
    <t xml:space="preserve">  Cada aba na parte inferior corresponde a uma categoria de equipamento.</t>
  </si>
  <si>
    <t xml:space="preserve">  DASHBOARD mostra resumo geral com graficos e numeros.</t>
  </si>
  <si>
    <t xml:space="preserve">  Use os FILTROS no header de cada coluna para buscar itens.</t>
  </si>
  <si>
    <t xml:space="preserve">  LOTES agrupa cabos em kits. FORA DE OPERACAO = vendidos/emprestados.</t>
  </si>
  <si>
    <t xml:space="preserve">  STATUS — Onde o item esta</t>
  </si>
  <si>
    <t xml:space="preserve">  DISPONIVEL</t>
  </si>
  <si>
    <t xml:space="preserve">  No galpao, pronto para uso</t>
  </si>
  <si>
    <t xml:space="preserve">  EM_CAMPO</t>
  </si>
  <si>
    <t xml:space="preserve">  Saiu para evento, em uso</t>
  </si>
  <si>
    <t xml:space="preserve">  PACKED</t>
  </si>
  <si>
    <t xml:space="preserve">  Separado para evento, ainda no galpao</t>
  </si>
  <si>
    <t xml:space="preserve">  MANUTENCAO</t>
  </si>
  <si>
    <t xml:space="preserve">  Em reparo ou revisao</t>
  </si>
  <si>
    <t xml:space="preserve">  EMPRESTADO</t>
  </si>
  <si>
    <t xml:space="preserve">  Com terceiro (retorna)</t>
  </si>
  <si>
    <t xml:space="preserve">  VENDIDO</t>
  </si>
  <si>
    <t xml:space="preserve">  Vendido, fora do estoque</t>
  </si>
  <si>
    <t xml:space="preserve">  BAIXA</t>
  </si>
  <si>
    <t xml:space="preserve">  Descartado ou perdido</t>
  </si>
  <si>
    <t xml:space="preserve">  ESTADO — Ciclo de vida do equipamento</t>
  </si>
  <si>
    <t xml:space="preserve">  NOVO</t>
  </si>
  <si>
    <t xml:space="preserve">  Nunca usado em evento. Embalagem original.</t>
  </si>
  <si>
    <t xml:space="preserve">  SEMI_NOVO</t>
  </si>
  <si>
    <t xml:space="preserve">  Usado 1 a 5 vezes. Sem marcas visiveis.</t>
  </si>
  <si>
    <t xml:space="preserve">  USADO</t>
  </si>
  <si>
    <t xml:space="preserve">  Uso regular. Marcas normais de operacao.</t>
  </si>
  <si>
    <t xml:space="preserve">  RECONDICIONADO</t>
  </si>
  <si>
    <t xml:space="preserve">  Foi reparado ou restaurado. Funcional.</t>
  </si>
  <si>
    <t xml:space="preserve">  DESGASTE — Condicao fisica (1 a 5)</t>
  </si>
  <si>
    <t xml:space="preserve">  ★★★★★ EXCELENTE</t>
  </si>
  <si>
    <t xml:space="preserve">  Como novo, sem marcas</t>
  </si>
  <si>
    <t xml:space="preserve">  ★★★★☆ BOM</t>
  </si>
  <si>
    <t xml:space="preserve">  Marcas leves, 100% funcional</t>
  </si>
  <si>
    <t xml:space="preserve">  ★★★☆☆ REGULAR</t>
  </si>
  <si>
    <t xml:space="preserve">  Uso visivel, funcional</t>
  </si>
  <si>
    <t xml:space="preserve">  ★★☆☆☆ DESGASTADO</t>
  </si>
  <si>
    <t xml:space="preserve">  Problemas cosmeticos</t>
  </si>
  <si>
    <t xml:space="preserve">  ★☆☆☆☆ CRITICO</t>
  </si>
  <si>
    <t xml:space="preserve">  Precisa reparo/trocar</t>
  </si>
  <si>
    <t xml:space="preserve">  DEPRECIACAO — Calculo automatico</t>
  </si>
  <si>
    <t xml:space="preserve">  Valor Atual prioriza o levantamento externo quando existir. Sem isso, sai uma sugestao inicial para ajuste manual.</t>
  </si>
  <si>
    <t xml:space="preserve">  Deprec.% = 100% - (Valor Atual / Valor Original)</t>
  </si>
  <si>
    <t xml:space="preserve">  Mudar Estado ou Desgaste nao altera a depreciacao. So Valor Atual altera.</t>
  </si>
  <si>
    <t xml:space="preserve">  Estado e desgaste iniciais ja vem sugeridos por item, usando tipo, modelo e observacoes.</t>
  </si>
  <si>
    <t xml:space="preserve">  Valor Atual aparece em verde para revisao rapida. Deprec.% acompanha esse valor.</t>
  </si>
  <si>
    <t xml:space="preserve">  Serial Fab. e Subcategoria saem padronizados para leitura mais limpa.</t>
  </si>
  <si>
    <t xml:space="preserve">  COMO ATUALIZAR O INVENTARIO</t>
  </si>
  <si>
    <t xml:space="preserve">  ITEM NOVO: adicionar na aba da categoria. Estado=NOVO, Desgaste=★★★★★.</t>
  </si>
  <si>
    <t xml:space="preserve">  APOS EVENTO: revisar desgaste dos itens que foram para o campo.</t>
  </si>
  <si>
    <t xml:space="preserve">  DEFEITO: mudar status para MANUTENCAO e ajustar desgaste.</t>
  </si>
  <si>
    <t xml:space="preserve">  VENDIDO: mover para aba FORA DE OPERACAO com status VENDIDO.</t>
  </si>
  <si>
    <t xml:space="preserve">  CATEGORIAS DE EQUIPAMENTO</t>
  </si>
  <si>
    <t xml:space="preserve">  ILUMINACAO (ILU)</t>
  </si>
  <si>
    <t xml:space="preserve">  Par LED, Ribalta, Moving, Strobo, Laser</t>
  </si>
  <si>
    <t xml:space="preserve">  AUDIO (AUD)</t>
  </si>
  <si>
    <t xml:space="preserve">  Caixas, Subs, Mesas, Mics, DJs</t>
  </si>
  <si>
    <t xml:space="preserve">  CABO (CAB)</t>
  </si>
  <si>
    <t xml:space="preserve">  XLR, DMX, P10, AC, HDMI, USB</t>
  </si>
  <si>
    <t xml:space="preserve">  ENERGIA (ENE)</t>
  </si>
  <si>
    <t xml:space="preserve">  Reguas, Centopeias, Extensoes</t>
  </si>
  <si>
    <t xml:space="preserve">  ESTRUTURA (EST)</t>
  </si>
  <si>
    <t xml:space="preserve">  Tripes, Box Truss, Praticaveis</t>
  </si>
  <si>
    <t xml:space="preserve">  EFEITO (EFE)</t>
  </si>
  <si>
    <t xml:space="preserve">  Fumaca, Haze, CO2, Fluidos</t>
  </si>
  <si>
    <t xml:space="preserve">  VIDEO (VID)</t>
  </si>
  <si>
    <t xml:space="preserve">  Projetores, Notebooks, Tablets</t>
  </si>
  <si>
    <t xml:space="preserve">  ACESSORIO (ACE)</t>
  </si>
  <si>
    <t xml:space="preserve">  Cases, Ferramentas, Roteadores</t>
  </si>
  <si>
    <t>MMD Eventos  |  Inventario Inteligente  |  03/04/2026</t>
  </si>
  <si>
    <t>Inventario Inteligente  ·  03/04/2026</t>
  </si>
  <si>
    <t>TOTAL ITENS</t>
  </si>
  <si>
    <t>DISPONIVEL</t>
  </si>
  <si>
    <t>EM CAMPO</t>
  </si>
  <si>
    <t>MANUTENCAO</t>
  </si>
  <si>
    <t>VALOR ORIGINAL</t>
  </si>
  <si>
    <t>VALOR ATUAL</t>
  </si>
  <si>
    <t>SAUDE DO PATRIMONIO</t>
  </si>
  <si>
    <t>★★☆☆☆</t>
  </si>
  <si>
    <t>11%</t>
  </si>
  <si>
    <t>DESGASTE</t>
  </si>
  <si>
    <t>CRITICOS</t>
  </si>
  <si>
    <t>DEPREC.</t>
  </si>
  <si>
    <t>LOTES</t>
  </si>
  <si>
    <t>POR CATEGORIA</t>
  </si>
  <si>
    <t>Categoria</t>
  </si>
  <si>
    <t>Qtd</t>
  </si>
  <si>
    <t>Valor Orig.</t>
  </si>
  <si>
    <t>Valor Atual</t>
  </si>
  <si>
    <t>% Patr.</t>
  </si>
  <si>
    <t>ILUMINACAO</t>
  </si>
  <si>
    <t>ILUMINACAO R$ 70.942</t>
  </si>
  <si>
    <t>ILUMINACAO
R$ 246.366,48</t>
  </si>
  <si>
    <t>AUDIO</t>
  </si>
  <si>
    <t>AUDIO R$ 292.151</t>
  </si>
  <si>
    <t>AUDIO
R$ 446.936,35</t>
  </si>
  <si>
    <t>ENERGIA</t>
  </si>
  <si>
    <t>CABO R$ 0</t>
  </si>
  <si>
    <t>ENERGIA
R$ 5.785,73</t>
  </si>
  <si>
    <t>ESTRUTURA</t>
  </si>
  <si>
    <t>ENERGIA R$ 13.125</t>
  </si>
  <si>
    <t>ESTRUTURA
R$ 17.629,93</t>
  </si>
  <si>
    <t>EFEITO</t>
  </si>
  <si>
    <t>ESTRUTURA R$ 22.268</t>
  </si>
  <si>
    <t>EFEITO
R$ 8.441,00</t>
  </si>
  <si>
    <t>VIDEO</t>
  </si>
  <si>
    <t>EFEITO R$ 2.195</t>
  </si>
  <si>
    <t>VIDEO
R$ 13.022,82</t>
  </si>
  <si>
    <t>ACESSORIO</t>
  </si>
  <si>
    <t>VIDEO R$ 4.949</t>
  </si>
  <si>
    <t>ACESSORIO
R$ 34.050,41</t>
  </si>
  <si>
    <t>FORA DE OPERACAO</t>
  </si>
  <si>
    <t>ACESSORIO R$ 17.691</t>
  </si>
  <si>
    <t>FORA DE OPERACAO
R$ 24.090,78</t>
  </si>
  <si>
    <t>POR STATUS</t>
  </si>
  <si>
    <t>Status</t>
  </si>
  <si>
    <t>%</t>
  </si>
  <si>
    <t>EM_CAMPO</t>
  </si>
  <si>
    <t>PACKED</t>
  </si>
  <si>
    <t>TOP 10 MAIS VALIOSOS</t>
  </si>
  <si>
    <t>Nome</t>
  </si>
  <si>
    <t>Valor (R$)</t>
  </si>
  <si>
    <t>Desgaste</t>
  </si>
  <si>
    <t>XDJ-XZ PIONEER</t>
  </si>
  <si>
    <t>★★★★☆</t>
  </si>
  <si>
    <t>8003-AS II 2200W</t>
  </si>
  <si>
    <t>XDJ-RR PIONEER</t>
  </si>
  <si>
    <t>KW181</t>
  </si>
  <si>
    <t>X32 RACK</t>
  </si>
  <si>
    <t>★★★☆☆</t>
  </si>
  <si>
    <t>K12.2</t>
  </si>
  <si>
    <t>PERDA PATRIMONIAL POR CATEGORIA</t>
  </si>
  <si>
    <t>Perda (R$)</t>
  </si>
  <si>
    <t>Deprec.%</t>
  </si>
  <si>
    <t>CABO</t>
  </si>
  <si>
    <t>ILUMINACAO  —  Par LED, Ribalta, Moving, Strobo, Laser</t>
  </si>
  <si>
    <t>270 itens   |   Valor: R$ 246.366,48   |   Desgaste medio: 2,0/5</t>
  </si>
  <si>
    <t>Codigo</t>
  </si>
  <si>
    <t>Marca</t>
  </si>
  <si>
    <t>Subcategoria</t>
  </si>
  <si>
    <t>Serial Fab.</t>
  </si>
  <si>
    <t>Tag RFID</t>
  </si>
  <si>
    <t>Estado</t>
  </si>
  <si>
    <t>Valor Original</t>
  </si>
  <si>
    <t>Notas</t>
  </si>
  <si>
    <t xml:space="preserve">  5R  (6)</t>
  </si>
  <si>
    <t>MMD-ILU-0065</t>
  </si>
  <si>
    <t>ST-135BY-CS</t>
  </si>
  <si>
    <t>Showtech</t>
  </si>
  <si>
    <t>5R</t>
  </si>
  <si>
    <t>USADO</t>
  </si>
  <si>
    <t>★★★★★</t>
  </si>
  <si>
    <t>MMD-ILU-0066</t>
  </si>
  <si>
    <t>MMD-ILU-0142</t>
  </si>
  <si>
    <t>MMD-ILU-0143</t>
  </si>
  <si>
    <t>MMD-ILU-0144</t>
  </si>
  <si>
    <t>MMD-ILU-0145</t>
  </si>
  <si>
    <t xml:space="preserve">  9R  (10)</t>
  </si>
  <si>
    <t>MMD-ILU-0146</t>
  </si>
  <si>
    <t>ST-X251LAY</t>
  </si>
  <si>
    <t>9R</t>
  </si>
  <si>
    <t>MMD-ILU-0147</t>
  </si>
  <si>
    <t>MMD-ILU-0148</t>
  </si>
  <si>
    <t>MMD-ILU-0149</t>
  </si>
  <si>
    <t>MMD-ILU-0150</t>
  </si>
  <si>
    <t>MMD-ILU-0151</t>
  </si>
  <si>
    <t>MMD-ILU-0152</t>
  </si>
  <si>
    <t>MMD-ILU-0153</t>
  </si>
  <si>
    <t>MMD-ILU-0154</t>
  </si>
  <si>
    <t>MMD-ILU-0155</t>
  </si>
  <si>
    <t xml:space="preserve">  AZUL  (1)</t>
  </si>
  <si>
    <t>MMD-ILU-0185</t>
  </si>
  <si>
    <t>LASER DISPLAY SYSTEM B500</t>
  </si>
  <si>
    <t>AZUL</t>
  </si>
  <si>
    <t>JA081375</t>
  </si>
  <si>
    <t xml:space="preserve">  BEAM  (1)</t>
  </si>
  <si>
    <t>MMD-ILU-0186</t>
  </si>
  <si>
    <t>HW-LED267 8*12W RGBW BEAM</t>
  </si>
  <si>
    <t>BEAM</t>
  </si>
  <si>
    <t xml:space="preserve">  COB  (2)</t>
  </si>
  <si>
    <t>MMD-ILU-0082</t>
  </si>
  <si>
    <t>PL27002</t>
  </si>
  <si>
    <t>COB</t>
  </si>
  <si>
    <t>MMD-ILU-0083</t>
  </si>
  <si>
    <t xml:space="preserve">  CTRL DMX  (1)</t>
  </si>
  <si>
    <t>MMD-ILU-0187</t>
  </si>
  <si>
    <t>PRO X4i</t>
  </si>
  <si>
    <t>Lumikit</t>
  </si>
  <si>
    <t>CTRL DMX</t>
  </si>
  <si>
    <t xml:space="preserve">  FIXA  (37)</t>
  </si>
  <si>
    <t>MMD-ILU-0060</t>
  </si>
  <si>
    <t>ST-14BSLX</t>
  </si>
  <si>
    <t>FIXA</t>
  </si>
  <si>
    <t>MMD-ILU-0061</t>
  </si>
  <si>
    <t>MMD-ILU-0062</t>
  </si>
  <si>
    <t>MMD-ILU-0064</t>
  </si>
  <si>
    <t>AH-084-5</t>
  </si>
  <si>
    <t>Hows</t>
  </si>
  <si>
    <t>MMD-ILU-0118</t>
  </si>
  <si>
    <t>ST-XQDFS24 - BLINDADA</t>
  </si>
  <si>
    <t>MMD-ILU-0119</t>
  </si>
  <si>
    <t>MMD-ILU-0120</t>
  </si>
  <si>
    <t>MMD-ILU-0121</t>
  </si>
  <si>
    <t>MMD-ILU-0122</t>
  </si>
  <si>
    <t>MMD-ILU-0123</t>
  </si>
  <si>
    <t>MMD-ILU-0124</t>
  </si>
  <si>
    <t>MMD-ILU-0125</t>
  </si>
  <si>
    <t>MMD-ILU-0126</t>
  </si>
  <si>
    <t>MMD-ILU-0127</t>
  </si>
  <si>
    <t>MMD-ILU-0128</t>
  </si>
  <si>
    <t>MMD-ILU-0129</t>
  </si>
  <si>
    <t>MMD-ILU-0130</t>
  </si>
  <si>
    <t>MMD-ILU-0131</t>
  </si>
  <si>
    <t>MMD-ILU-0132</t>
  </si>
  <si>
    <t>MMD-ILU-0133</t>
  </si>
  <si>
    <t>MMD-ILU-0134</t>
  </si>
  <si>
    <t>MMD-ILU-0135</t>
  </si>
  <si>
    <t>MMD-ILU-0136</t>
  </si>
  <si>
    <t>MMD-ILU-0137</t>
  </si>
  <si>
    <t>MMD-ILU-0138</t>
  </si>
  <si>
    <t>MMD-ILU-0139</t>
  </si>
  <si>
    <t>MMD-ILU-0140</t>
  </si>
  <si>
    <t>MMD-ILU-0141</t>
  </si>
  <si>
    <t>MMD-ILU-0165</t>
  </si>
  <si>
    <t>BX-353 0722</t>
  </si>
  <si>
    <t>Briwax</t>
  </si>
  <si>
    <t>MMD-ILU-0166</t>
  </si>
  <si>
    <t>BX-391 1905</t>
  </si>
  <si>
    <t>MMD-ILU-0167</t>
  </si>
  <si>
    <t>MMD-ILU-0168</t>
  </si>
  <si>
    <t>SOG 01A</t>
  </si>
  <si>
    <t>MMD-ILU-0169</t>
  </si>
  <si>
    <t>MMD-ILU-0170</t>
  </si>
  <si>
    <t>MMD-ILU-0188</t>
  </si>
  <si>
    <t>MMD-ILU-0189</t>
  </si>
  <si>
    <t>MMD-ILU-0190</t>
  </si>
  <si>
    <t xml:space="preserve">  INDOOR  (75)</t>
  </si>
  <si>
    <t>MMD-ILU-0013</t>
  </si>
  <si>
    <t>XXXX</t>
  </si>
  <si>
    <t>Aura</t>
  </si>
  <si>
    <t>INDOOR</t>
  </si>
  <si>
    <t>MMD-ILU-0019</t>
  </si>
  <si>
    <t>BX-432 0922</t>
  </si>
  <si>
    <t>MMD-ILU-0020</t>
  </si>
  <si>
    <t>MMD-ILU-0021</t>
  </si>
  <si>
    <t>LED PAR 64 SLIM RGB</t>
  </si>
  <si>
    <t>MMD-ILU-0022</t>
  </si>
  <si>
    <t>ST-184N1</t>
  </si>
  <si>
    <t>909348360</t>
  </si>
  <si>
    <t>MMD-ILU-0024</t>
  </si>
  <si>
    <t>BX-325 1810</t>
  </si>
  <si>
    <t>MMD-ILU-0025</t>
  </si>
  <si>
    <t>MMD-ILU-0026</t>
  </si>
  <si>
    <t>MMD-ILU-0027</t>
  </si>
  <si>
    <t>BX-850 1905</t>
  </si>
  <si>
    <t>MMD-ILU-0028</t>
  </si>
  <si>
    <t>MMD-ILU-0029</t>
  </si>
  <si>
    <t>MMD-ILU-0030</t>
  </si>
  <si>
    <t>BX-850 1908</t>
  </si>
  <si>
    <t>MMD-ILU-0031</t>
  </si>
  <si>
    <t>BX-404 0822</t>
  </si>
  <si>
    <t>MMD-ILU-0033</t>
  </si>
  <si>
    <t>LED FLAT PAR 64 RGB II</t>
  </si>
  <si>
    <t>MMD-ILU-0035</t>
  </si>
  <si>
    <t>MMD-ILU-0036</t>
  </si>
  <si>
    <t>BX-383 1909</t>
  </si>
  <si>
    <t>MMD-ILU-0037</t>
  </si>
  <si>
    <t>LED TRI FLOOD PAR</t>
  </si>
  <si>
    <t>MMD-ILU-0039</t>
  </si>
  <si>
    <t>FLATTRITEC LED-1026</t>
  </si>
  <si>
    <t>American PRO</t>
  </si>
  <si>
    <t>FTL-102683</t>
  </si>
  <si>
    <t>MMD-ILU-0040</t>
  </si>
  <si>
    <t>FTL-102676</t>
  </si>
  <si>
    <t>MMD-ILU-0156</t>
  </si>
  <si>
    <t>NEO NE-117C</t>
  </si>
  <si>
    <t>MMD-ILU-0157</t>
  </si>
  <si>
    <t>ILUMINAÇÃO PROFESSIONAL</t>
  </si>
  <si>
    <t>NEW Star</t>
  </si>
  <si>
    <t>MMD-ILU-0158</t>
  </si>
  <si>
    <t>Mega Light</t>
  </si>
  <si>
    <t>MMD-ILU-0159</t>
  </si>
  <si>
    <t>MEGALIGHT NE-117G-I</t>
  </si>
  <si>
    <t>BDL</t>
  </si>
  <si>
    <t>MMD-ILU-0160</t>
  </si>
  <si>
    <t>MMD-ILU-0161</t>
  </si>
  <si>
    <t>NEC</t>
  </si>
  <si>
    <t>MMD-ILU-0162</t>
  </si>
  <si>
    <t>MMD-ILU-0163</t>
  </si>
  <si>
    <t>MMD-ILU-0164</t>
  </si>
  <si>
    <t>MMD-ILU-0171</t>
  </si>
  <si>
    <t>S-545</t>
  </si>
  <si>
    <t>Chnes</t>
  </si>
  <si>
    <t>MMD-ILU-0172</t>
  </si>
  <si>
    <t>Star Light Division</t>
  </si>
  <si>
    <t>MMD-ILU-0191</t>
  </si>
  <si>
    <t>LP003</t>
  </si>
  <si>
    <t>LA1476966</t>
  </si>
  <si>
    <t>MMD-ILU-0192</t>
  </si>
  <si>
    <t>LED SPOT RGBW 54X3W</t>
  </si>
  <si>
    <t>991114812</t>
  </si>
  <si>
    <t>MMD-ILU-0193</t>
  </si>
  <si>
    <t>991114813</t>
  </si>
  <si>
    <t>MMD-ILU-0194</t>
  </si>
  <si>
    <t>STAR LIGHTING DIVISION LINE LED SPOT RGBW 54X3W</t>
  </si>
  <si>
    <t>991114821</t>
  </si>
  <si>
    <t>MMD-ILU-0195</t>
  </si>
  <si>
    <t>STAR LIGHTING DIVISION RGBW 54X3W</t>
  </si>
  <si>
    <t>991114814</t>
  </si>
  <si>
    <t>MMD-ILU-0196</t>
  </si>
  <si>
    <t>991114816</t>
  </si>
  <si>
    <t>MMD-ILU-0197</t>
  </si>
  <si>
    <t>991114817</t>
  </si>
  <si>
    <t>MMD-ILU-0198</t>
  </si>
  <si>
    <t>991114819</t>
  </si>
  <si>
    <t>MMD-ILU-0199</t>
  </si>
  <si>
    <t>(REDONDO GRANDE)</t>
  </si>
  <si>
    <t>MMD-ILU-0200</t>
  </si>
  <si>
    <t>MMD-ILU-0201</t>
  </si>
  <si>
    <t>BRY-1903</t>
  </si>
  <si>
    <t>MMD-ILU-0202</t>
  </si>
  <si>
    <t>BWX BX-316 1707</t>
  </si>
  <si>
    <t>MMD-ILU-0203</t>
  </si>
  <si>
    <t>BX-316 1804</t>
  </si>
  <si>
    <t>MMD-ILU-0204</t>
  </si>
  <si>
    <t>BX-383 1912</t>
  </si>
  <si>
    <t>MMD-ILU-0205</t>
  </si>
  <si>
    <t>HW-LED010F</t>
  </si>
  <si>
    <t>MMD-ILU-0206</t>
  </si>
  <si>
    <t>MAGIC CAZ. LE-64543-1 MODELL EVENTOS 0403</t>
  </si>
  <si>
    <t>MMD-ILU-0207</t>
  </si>
  <si>
    <t>NE-117C</t>
  </si>
  <si>
    <t>MMD-ILU-0208</t>
  </si>
  <si>
    <t>NE-117G</t>
  </si>
  <si>
    <t>MMD-ILU-0209</t>
  </si>
  <si>
    <t>NE-117G-I</t>
  </si>
  <si>
    <t>MMD-ILU-0210</t>
  </si>
  <si>
    <t>MMD-ILU-0211</t>
  </si>
  <si>
    <t>MMD-ILU-0212</t>
  </si>
  <si>
    <t>MMD-ILU-0213</t>
  </si>
  <si>
    <t>MMD-ILU-0214</t>
  </si>
  <si>
    <t>MMD-ILU-0215</t>
  </si>
  <si>
    <t>MMD-ILU-0216</t>
  </si>
  <si>
    <t>MMD-ILU-0217</t>
  </si>
  <si>
    <t>P354</t>
  </si>
  <si>
    <t>MMD-ILU-0218</t>
  </si>
  <si>
    <t>P360 PHATON</t>
  </si>
  <si>
    <t>MMD-ILU-0219</t>
  </si>
  <si>
    <t>SEM ID (CANHÃO)</t>
  </si>
  <si>
    <t>MODELL EVENTOS ...</t>
  </si>
  <si>
    <t>MMD-ILU-0220</t>
  </si>
  <si>
    <t>MMD-ILU-0221</t>
  </si>
  <si>
    <t>MMD-ILU-0222</t>
  </si>
  <si>
    <t>SEM IDENTIFICACAO</t>
  </si>
  <si>
    <t>MMD-ILU-0223</t>
  </si>
  <si>
    <t>MMD-ILU-0224</t>
  </si>
  <si>
    <t>SEM IDENTIFICACAO (MAS PARECE NE-117G-I)</t>
  </si>
  <si>
    <t>MMD-ILU-0225</t>
  </si>
  <si>
    <t>MMD-ILU-0226</t>
  </si>
  <si>
    <t>MMD-ILU-0227</t>
  </si>
  <si>
    <t>MMD-ILU-0228</t>
  </si>
  <si>
    <t>MMD-ILU-0229</t>
  </si>
  <si>
    <t>MMD-ILU-0230</t>
  </si>
  <si>
    <t>MMD-ILU-0231</t>
  </si>
  <si>
    <t>MMD-ILU-0232</t>
  </si>
  <si>
    <t>MMD-ILU-0233</t>
  </si>
  <si>
    <t>MMD-ILU-0234</t>
  </si>
  <si>
    <t>991114818</t>
  </si>
  <si>
    <t>MMD-ILU-0235</t>
  </si>
  <si>
    <t xml:space="preserve">  LASER  (9)</t>
  </si>
  <si>
    <t>MMD-ILU-0050</t>
  </si>
  <si>
    <t>RIBALTA LASER 6 CABECAS RGB</t>
  </si>
  <si>
    <t>LASER</t>
  </si>
  <si>
    <t>MMD-ILU-0057</t>
  </si>
  <si>
    <t>ST-LS6</t>
  </si>
  <si>
    <t>MMD-ILU-0058</t>
  </si>
  <si>
    <t>MMD-ILU-0059</t>
  </si>
  <si>
    <t>MMD-ILU-0077</t>
  </si>
  <si>
    <t>MMD-ILU-0078</t>
  </si>
  <si>
    <t>MMD-ILU-0079</t>
  </si>
  <si>
    <t>MMD-ILU-0116</t>
  </si>
  <si>
    <t>MMD-ILU-0117</t>
  </si>
  <si>
    <t xml:space="preserve">  LUZ NEGRA  (1)</t>
  </si>
  <si>
    <t>MMD-ILU-0242</t>
  </si>
  <si>
    <t>SOG-12Z</t>
  </si>
  <si>
    <t>LUZ NEGRA</t>
  </si>
  <si>
    <t xml:space="preserve">  MESA LUZ  (5)</t>
  </si>
  <si>
    <t>MMD-ILU-0179</t>
  </si>
  <si>
    <t>KTY711</t>
  </si>
  <si>
    <t>MESA LUZ</t>
  </si>
  <si>
    <t>MMD-ILU-0180</t>
  </si>
  <si>
    <t>LK192</t>
  </si>
  <si>
    <t>Luatek</t>
  </si>
  <si>
    <t>MMD-ILU-0184</t>
  </si>
  <si>
    <t>PILOT 2000 COM CASE</t>
  </si>
  <si>
    <t>Skypix</t>
  </si>
  <si>
    <t>MMD-ILU-0236</t>
  </si>
  <si>
    <t>MESA M.A COMMAND WING COM CASE</t>
  </si>
  <si>
    <t>SOG</t>
  </si>
  <si>
    <t>MMD-ILU-0237</t>
  </si>
  <si>
    <t>SOG-512 DMX512</t>
  </si>
  <si>
    <t xml:space="preserve">  MINI BRUTE  (6)</t>
  </si>
  <si>
    <t>MMD-ILU-0174</t>
  </si>
  <si>
    <t>NEO NE-410</t>
  </si>
  <si>
    <t>MINI BRUTE</t>
  </si>
  <si>
    <t>MMD-ILU-0175</t>
  </si>
  <si>
    <t>BRY-1912</t>
  </si>
  <si>
    <t>MMD-ILU-0176</t>
  </si>
  <si>
    <t>MMD-ILU-0177</t>
  </si>
  <si>
    <t>MMD-ILU-0178</t>
  </si>
  <si>
    <t>MMD-ILU-0243</t>
  </si>
  <si>
    <t xml:space="preserve">  MINI MOVING  (24)</t>
  </si>
  <si>
    <t>MMD-ILU-0244</t>
  </si>
  <si>
    <t>LM70</t>
  </si>
  <si>
    <t>MINI MOVING</t>
  </si>
  <si>
    <t>LA688226</t>
  </si>
  <si>
    <t>MMD-ILU-0245</t>
  </si>
  <si>
    <t>MINI B-EYE 7X15W HW-A005B</t>
  </si>
  <si>
    <t>8685</t>
  </si>
  <si>
    <t>MMD-ILU-0246</t>
  </si>
  <si>
    <t>SOG-610A BEAM</t>
  </si>
  <si>
    <t>MMD-ILU-0247</t>
  </si>
  <si>
    <t>ST-6EYE</t>
  </si>
  <si>
    <t>MMD-ILU-0248</t>
  </si>
  <si>
    <t>ST-S206</t>
  </si>
  <si>
    <t>MMD-ILU-0249</t>
  </si>
  <si>
    <t>MMD-ILU-0250</t>
  </si>
  <si>
    <t>WASH SOG-837</t>
  </si>
  <si>
    <t>MMD-ILU-0251</t>
  </si>
  <si>
    <t>BX-570 1909 SOG-30W</t>
  </si>
  <si>
    <t>MMD-ILU-0252</t>
  </si>
  <si>
    <t>MMD-ILU-0253</t>
  </si>
  <si>
    <t>MMD-ILU-0254</t>
  </si>
  <si>
    <t>MMD-ILU-0255</t>
  </si>
  <si>
    <t>MMD-ILU-0256</t>
  </si>
  <si>
    <t>EXEL LED SPOT EX-200</t>
  </si>
  <si>
    <t>802070665</t>
  </si>
  <si>
    <t>MMD-ILU-0257</t>
  </si>
  <si>
    <t>ILED GENIUS 30W</t>
  </si>
  <si>
    <t>053501-0036</t>
  </si>
  <si>
    <t>MMD-ILU-0258</t>
  </si>
  <si>
    <t>053501-0045</t>
  </si>
  <si>
    <t>MMD-ILU-0259</t>
  </si>
  <si>
    <t>LA1079004</t>
  </si>
  <si>
    <t>MMD-ILU-0260</t>
  </si>
  <si>
    <t>LS10</t>
  </si>
  <si>
    <t>LA716094</t>
  </si>
  <si>
    <t>MMD-ILU-0261</t>
  </si>
  <si>
    <t>MINI B-EYE 7X15W HW-A006B</t>
  </si>
  <si>
    <t>MMD-ILU-0262</t>
  </si>
  <si>
    <t>MMD-ILU-0263</t>
  </si>
  <si>
    <t>STARLUX MODEL ML136 (BOLINHA)</t>
  </si>
  <si>
    <t>MHL136-043 / 07</t>
  </si>
  <si>
    <t>MMD-ILU-0264</t>
  </si>
  <si>
    <t>MMD-ILU-0265</t>
  </si>
  <si>
    <t>MMD-ILU-0266</t>
  </si>
  <si>
    <t>MMD-ILU-0267</t>
  </si>
  <si>
    <t xml:space="preserve">  OUTDOOR  (76)</t>
  </si>
  <si>
    <t>MMD-ILU-0001</t>
  </si>
  <si>
    <t>BWX BX-314 1707</t>
  </si>
  <si>
    <t>OUTDOOR</t>
  </si>
  <si>
    <t>MMD-ILU-0002</t>
  </si>
  <si>
    <t>MMD-ILU-0003</t>
  </si>
  <si>
    <t>LP-354</t>
  </si>
  <si>
    <t>Hot Machine</t>
  </si>
  <si>
    <t>MMD-ILU-0004</t>
  </si>
  <si>
    <t>IP65</t>
  </si>
  <si>
    <t>742</t>
  </si>
  <si>
    <t>MMD-ILU-0005</t>
  </si>
  <si>
    <t>SEM ID (? )</t>
  </si>
  <si>
    <t>MMD-ILU-0006</t>
  </si>
  <si>
    <t>MMD-ILU-0007</t>
  </si>
  <si>
    <t>MMD-ILU-0008</t>
  </si>
  <si>
    <t>SEM ID</t>
  </si>
  <si>
    <t>MMD-ILU-0009</t>
  </si>
  <si>
    <t>MMD-ILU-0010</t>
  </si>
  <si>
    <t>737</t>
  </si>
  <si>
    <t>MMD-ILU-0011</t>
  </si>
  <si>
    <t>MMD-ILU-0012</t>
  </si>
  <si>
    <t>731</t>
  </si>
  <si>
    <t>MMD-ILU-0014</t>
  </si>
  <si>
    <t>MMD-ILU-0015</t>
  </si>
  <si>
    <t>PAR LED SOMENTE BRANCO QUENTE</t>
  </si>
  <si>
    <t>MMD-ILU-0016</t>
  </si>
  <si>
    <t>MMD-ILU-0017</t>
  </si>
  <si>
    <t>MMD-ILU-0018</t>
  </si>
  <si>
    <t>AB-002</t>
  </si>
  <si>
    <t>MMD-ILU-0023</t>
  </si>
  <si>
    <t>18 PONTOS LUZ</t>
  </si>
  <si>
    <t>MMD-ILU-0032</t>
  </si>
  <si>
    <t>BX-207 0822</t>
  </si>
  <si>
    <t>MMD-ILU-0034</t>
  </si>
  <si>
    <t>ST-10WBQ (SPOT LUZ)</t>
  </si>
  <si>
    <t>69689</t>
  </si>
  <si>
    <t>MMD-ILU-0046</t>
  </si>
  <si>
    <t>MLG-119</t>
  </si>
  <si>
    <t>Tomate</t>
  </si>
  <si>
    <t>MMD-ILU-0047</t>
  </si>
  <si>
    <t>MMD-ILU-0048</t>
  </si>
  <si>
    <t>MMD-ILU-0049</t>
  </si>
  <si>
    <t>MLG-119 (SO A CAIXA - SEM A LUZ - QUEBRADA?)</t>
  </si>
  <si>
    <t>MMD-ILU-0051</t>
  </si>
  <si>
    <t>MMD-ILU-0052</t>
  </si>
  <si>
    <t>MMD-ILU-0053</t>
  </si>
  <si>
    <t>MMD-ILU-0054</t>
  </si>
  <si>
    <t>MMD-ILU-0055</t>
  </si>
  <si>
    <t>MMD-ILU-0056</t>
  </si>
  <si>
    <t>MMD-ILU-0067</t>
  </si>
  <si>
    <t>ST-OP1806CS</t>
  </si>
  <si>
    <t>MMD-ILU-0068</t>
  </si>
  <si>
    <t>MMD-ILU-0069</t>
  </si>
  <si>
    <t>MMD-ILU-0070</t>
  </si>
  <si>
    <t>MMD-ILU-0071</t>
  </si>
  <si>
    <t>MMD-ILU-0072</t>
  </si>
  <si>
    <t>MMD-ILU-0073</t>
  </si>
  <si>
    <t>MMD-ILU-0074</t>
  </si>
  <si>
    <t>MMD-ILU-0075</t>
  </si>
  <si>
    <t>MMD-ILU-0076</t>
  </si>
  <si>
    <t>MMD-ILU-0081</t>
  </si>
  <si>
    <t>F664 (LUZ QUENTE)</t>
  </si>
  <si>
    <t>MMD-ILU-0084</t>
  </si>
  <si>
    <t>ST-32T</t>
  </si>
  <si>
    <t>MMD-ILU-0085</t>
  </si>
  <si>
    <t>MMD-ILU-0086</t>
  </si>
  <si>
    <t>MMD-ILU-0087</t>
  </si>
  <si>
    <t>MMD-ILU-0088</t>
  </si>
  <si>
    <t>MMD-ILU-0089</t>
  </si>
  <si>
    <t>MMD-ILU-0090</t>
  </si>
  <si>
    <t>MMD-ILU-0091</t>
  </si>
  <si>
    <t>MMD-ILU-0092</t>
  </si>
  <si>
    <t>MMD-ILU-0093</t>
  </si>
  <si>
    <t>MMD-ILU-0094</t>
  </si>
  <si>
    <t>MMD-ILU-0095</t>
  </si>
  <si>
    <t>MMD-ILU-0096</t>
  </si>
  <si>
    <t>MMD-ILU-0097</t>
  </si>
  <si>
    <t>MMD-ILU-0098</t>
  </si>
  <si>
    <t>MMD-ILU-0099</t>
  </si>
  <si>
    <t>MMD-ILU-0100</t>
  </si>
  <si>
    <t>MMD-ILU-0101</t>
  </si>
  <si>
    <t>MMD-ILU-0102</t>
  </si>
  <si>
    <t>MMD-ILU-0103</t>
  </si>
  <si>
    <t>MMD-ILU-0104</t>
  </si>
  <si>
    <t>MMD-ILU-0105</t>
  </si>
  <si>
    <t>MMD-ILU-0106</t>
  </si>
  <si>
    <t>MMD-ILU-0107</t>
  </si>
  <si>
    <t>MMD-ILU-0108</t>
  </si>
  <si>
    <t>MMD-ILU-0109</t>
  </si>
  <si>
    <t>MMD-ILU-0110</t>
  </si>
  <si>
    <t>MMD-ILU-0111</t>
  </si>
  <si>
    <t>MMD-ILU-0112</t>
  </si>
  <si>
    <t>MMD-ILU-0113</t>
  </si>
  <si>
    <t>MMD-ILU-0114</t>
  </si>
  <si>
    <t>MMD-ILU-0115</t>
  </si>
  <si>
    <t>MMD-ILU-0238</t>
  </si>
  <si>
    <t>BRIWAX</t>
  </si>
  <si>
    <t>MMD-ILU-0239</t>
  </si>
  <si>
    <t>736</t>
  </si>
  <si>
    <t>MMD-ILU-0240</t>
  </si>
  <si>
    <t>TEK SRG</t>
  </si>
  <si>
    <t xml:space="preserve">  OUTRAS LUZES  (4)</t>
  </si>
  <si>
    <t>MMD-ILU-0173</t>
  </si>
  <si>
    <t>ST-630BQ</t>
  </si>
  <si>
    <t>OUTRAS LUZES</t>
  </si>
  <si>
    <t>MMD-ILU-0268</t>
  </si>
  <si>
    <t>AMERICAN PRO LED-2517 NEPTEC</t>
  </si>
  <si>
    <t>1108078057</t>
  </si>
  <si>
    <t>MMD-ILU-0269</t>
  </si>
  <si>
    <t>MD-LED-020M MAGIC DAZZLE</t>
  </si>
  <si>
    <t>MMD-ILU-0270</t>
  </si>
  <si>
    <t>MD-W210220 MAGIC DAZZLE</t>
  </si>
  <si>
    <t xml:space="preserve">  RIBALTA LASER  (2)</t>
  </si>
  <si>
    <t>MMD-ILU-0063</t>
  </si>
  <si>
    <t>LASER COM LED (08 LASER 7 LED)</t>
  </si>
  <si>
    <t>RIBALTA LASER</t>
  </si>
  <si>
    <t>MMD-ILU-0080</t>
  </si>
  <si>
    <t xml:space="preserve">  SPLITTER DMX  (3)</t>
  </si>
  <si>
    <t>MMD-ILU-0181</t>
  </si>
  <si>
    <t>LIGHT SPLITTER DMX 4 SAÍDAS / 1 ENTRADA</t>
  </si>
  <si>
    <t>Lumyna</t>
  </si>
  <si>
    <t>SPLITTER DMX</t>
  </si>
  <si>
    <t>MMD-ILU-0182</t>
  </si>
  <si>
    <t>8 WAY DMX DISTRIBUTOR</t>
  </si>
  <si>
    <t>MMD-ILU-0183</t>
  </si>
  <si>
    <t xml:space="preserve">  STROBO  (6)</t>
  </si>
  <si>
    <t>MMD-ILU-0038</t>
  </si>
  <si>
    <t>ST-960PS</t>
  </si>
  <si>
    <t>STROBO</t>
  </si>
  <si>
    <t>MMD-ILU-0041</t>
  </si>
  <si>
    <t>MMD-ILU-0042</t>
  </si>
  <si>
    <t>MMD-ILU-0043</t>
  </si>
  <si>
    <t>MMD-ILU-0044</t>
  </si>
  <si>
    <t>MMD-ILU-0045</t>
  </si>
  <si>
    <t xml:space="preserve">  VERDE  (1)</t>
  </si>
  <si>
    <t>MMD-ILU-0241</t>
  </si>
  <si>
    <t>AWA LIGHT DJ LASER 100MW VERDE</t>
  </si>
  <si>
    <t>VERDE</t>
  </si>
  <si>
    <t xml:space="preserve">  TOTAL: 270 itens</t>
  </si>
  <si>
    <t>AUDIO  —  Caixas, Subs, Mesas, Mics, DJs</t>
  </si>
  <si>
    <t>125 itens   |   Valor: R$ 446.936,35   |   Desgaste medio: 3,1/5</t>
  </si>
  <si>
    <t xml:space="preserve">  ACESSORIO  (1)</t>
  </si>
  <si>
    <t>MMD-AUD-0001</t>
  </si>
  <si>
    <t>ANTK-CBL-BNC</t>
  </si>
  <si>
    <t>Phenyx Pro</t>
  </si>
  <si>
    <t xml:space="preserve">  AMP  (4)</t>
  </si>
  <si>
    <t>MMD-AUD-0002</t>
  </si>
  <si>
    <t>INUKE MODEL NU3000</t>
  </si>
  <si>
    <t>Behringer</t>
  </si>
  <si>
    <t>AMP</t>
  </si>
  <si>
    <t>S1107793AHN</t>
  </si>
  <si>
    <t>Serial Fab.: DATE CODE 1109</t>
  </si>
  <si>
    <t>MMD-AUD-0003</t>
  </si>
  <si>
    <t>6.0 SBX TRIO</t>
  </si>
  <si>
    <t>Machine</t>
  </si>
  <si>
    <t>MMD-AUD-0005</t>
  </si>
  <si>
    <t>Z4 STUDIO R SERIE Z 4000 W</t>
  </si>
  <si>
    <t>Studio R</t>
  </si>
  <si>
    <t>★☆☆☆☆</t>
  </si>
  <si>
    <t>** MUITO PESADO - NAO CONSEGUI VER ATRAS</t>
  </si>
  <si>
    <t>MMD-AUD-0006</t>
  </si>
  <si>
    <t>T500D CLASS D AMPLIFIER 500W</t>
  </si>
  <si>
    <t>Taramps</t>
  </si>
  <si>
    <t>69013899</t>
  </si>
  <si>
    <t>** MUITO PESADO - NAO CONSEGUI VER ATRAS | Serial Fab.: 4...</t>
  </si>
  <si>
    <t xml:space="preserve">  AMP FONES  (2)</t>
  </si>
  <si>
    <t>MMD-AUD-0007</t>
  </si>
  <si>
    <t>POWERPLAY P16-I na caixa</t>
  </si>
  <si>
    <t>AMP FONES</t>
  </si>
  <si>
    <t>1205</t>
  </si>
  <si>
    <t>MMD-AUD-0008</t>
  </si>
  <si>
    <t>POWERPLAY PRO-8 MODEL HA8000</t>
  </si>
  <si>
    <t>974185</t>
  </si>
  <si>
    <t>Serial Fab.: final do numero pois esta riscado</t>
  </si>
  <si>
    <t xml:space="preserve">  AMP RF  (2)</t>
  </si>
  <si>
    <t>MMD-AUD-0009</t>
  </si>
  <si>
    <t>PHENIX PRO DIRECTIONAL ANTENNA PAS-82</t>
  </si>
  <si>
    <t>AMP RF</t>
  </si>
  <si>
    <t>MMD-AUD-0010</t>
  </si>
  <si>
    <t>PAS-225 ANTENNA DISTRIBUTION SYSTEM</t>
  </si>
  <si>
    <t>ATSY226948</t>
  </si>
  <si>
    <t xml:space="preserve">  ANTENA DIRECIONAL  (1)</t>
  </si>
  <si>
    <t>MMD-AUD-0011</t>
  </si>
  <si>
    <t>ANTENA PHENIX PRO PAS-225 COM RECEIVER</t>
  </si>
  <si>
    <t>ANTENA DIRECIONAL</t>
  </si>
  <si>
    <t xml:space="preserve">  BASE MIC  (4)</t>
  </si>
  <si>
    <t>MMD-AUD-0012</t>
  </si>
  <si>
    <t>ew digital freq.q1-6</t>
  </si>
  <si>
    <t>Sennheiser</t>
  </si>
  <si>
    <t>BASE MIC</t>
  </si>
  <si>
    <t>5272008190</t>
  </si>
  <si>
    <t>MMD-AUD-0013</t>
  </si>
  <si>
    <t>5435129500</t>
  </si>
  <si>
    <t>MMD-AUD-0014</t>
  </si>
  <si>
    <t>ew digital freq.r1-6</t>
  </si>
  <si>
    <t>5011002647</t>
  </si>
  <si>
    <t>MMD-AUD-0015</t>
  </si>
  <si>
    <t>ew G4 freq g</t>
  </si>
  <si>
    <t>4448005984</t>
  </si>
  <si>
    <t xml:space="preserve">  BASE WIRELESS  (1)</t>
  </si>
  <si>
    <t>MMD-AUD-0016</t>
  </si>
  <si>
    <t>GLXD4R</t>
  </si>
  <si>
    <t>Shure</t>
  </si>
  <si>
    <t>BASE WIRELESS</t>
  </si>
  <si>
    <t>3QI0721297</t>
  </si>
  <si>
    <t xml:space="preserve">  BAT MAO  (2)</t>
  </si>
  <si>
    <t>MMD-AUD-0018</t>
  </si>
  <si>
    <t>HANDSONIC HPD-20</t>
  </si>
  <si>
    <t>Roland</t>
  </si>
  <si>
    <t>BAT MAO</t>
  </si>
  <si>
    <t>Z5D1433</t>
  </si>
  <si>
    <t>MMD-AUD-0019</t>
  </si>
  <si>
    <t>SPD-SX SAMPLING PAD</t>
  </si>
  <si>
    <t>E9G9793</t>
  </si>
  <si>
    <t xml:space="preserve">  BATERIA  (1)</t>
  </si>
  <si>
    <t>MMD-AUD-0017</t>
  </si>
  <si>
    <t>KICK, CAIXA, TOM 1, TOM 2, SURDO, RIDE, CHIMBAL</t>
  </si>
  <si>
    <t>BATERIA</t>
  </si>
  <si>
    <t xml:space="preserve">  BODYPACK  (1)</t>
  </si>
  <si>
    <t>MMD-AUD-0020</t>
  </si>
  <si>
    <t>ewd sk freq.r1-6</t>
  </si>
  <si>
    <t>BODYPACK</t>
  </si>
  <si>
    <t>544001196</t>
  </si>
  <si>
    <t xml:space="preserve">  CAIXA SOM  (17)</t>
  </si>
  <si>
    <t>MMD-AUD-0021</t>
  </si>
  <si>
    <t>Art 712-A</t>
  </si>
  <si>
    <t>RCF</t>
  </si>
  <si>
    <t>CAIXA SOM</t>
  </si>
  <si>
    <t>VKC100700</t>
  </si>
  <si>
    <t>MMD-AUD-0022</t>
  </si>
  <si>
    <t>VKCC00701</t>
  </si>
  <si>
    <t>MMD-AUD-0023</t>
  </si>
  <si>
    <t>DXR15</t>
  </si>
  <si>
    <t>Yamaha</t>
  </si>
  <si>
    <t>JEXY01012</t>
  </si>
  <si>
    <t>SEMI_NOVO</t>
  </si>
  <si>
    <t>*Comprou quarta, 02/10/24. | Serial Fab.: etiqueta riscad...</t>
  </si>
  <si>
    <t>MMD-AUD-0024</t>
  </si>
  <si>
    <t>JEXY01024</t>
  </si>
  <si>
    <t>*Comprou quarta, 02/10/24.</t>
  </si>
  <si>
    <t>MMD-AUD-0025</t>
  </si>
  <si>
    <t>K10.2</t>
  </si>
  <si>
    <t>QSC</t>
  </si>
  <si>
    <t>15CN2434100443</t>
  </si>
  <si>
    <t>MMD-AUD-0026</t>
  </si>
  <si>
    <t>V361820F3</t>
  </si>
  <si>
    <t>MMD-AUD-0027</t>
  </si>
  <si>
    <t>25CN2213200580</t>
  </si>
  <si>
    <t>*FALTOU A FOTO DA FRENTE - TEM ADESIVO BRANCA EM CIMA</t>
  </si>
  <si>
    <t>MMD-AUD-0028</t>
  </si>
  <si>
    <t>G1718007N</t>
  </si>
  <si>
    <t>MMD-AUD-0029</t>
  </si>
  <si>
    <t>G211801NJ</t>
  </si>
  <si>
    <t>MMD-AUD-0030</t>
  </si>
  <si>
    <t>G241800JM</t>
  </si>
  <si>
    <t>MMD-AUD-0031</t>
  </si>
  <si>
    <t>V3819215Q</t>
  </si>
  <si>
    <t>MMD-AUD-0032</t>
  </si>
  <si>
    <t>V501920YW</t>
  </si>
  <si>
    <t>MMD-AUD-0033</t>
  </si>
  <si>
    <t>K8/K10</t>
  </si>
  <si>
    <t>MMD-AUD-0036</t>
  </si>
  <si>
    <t>Cinza</t>
  </si>
  <si>
    <t>CSR</t>
  </si>
  <si>
    <t>MMD-AUD-0038</t>
  </si>
  <si>
    <t>12'' PASSIVO</t>
  </si>
  <si>
    <t>NHL</t>
  </si>
  <si>
    <t>MMD-AUD-0039</t>
  </si>
  <si>
    <t>12''ATIVO</t>
  </si>
  <si>
    <t>MMD-AUD-0040</t>
  </si>
  <si>
    <t>Leacs</t>
  </si>
  <si>
    <t xml:space="preserve">  CAPSULA MIC  (1)</t>
  </si>
  <si>
    <t>MMD-AUD-0133</t>
  </si>
  <si>
    <t>PARA MICROFONE SM58</t>
  </si>
  <si>
    <t>CAPSULA MIC</t>
  </si>
  <si>
    <t xml:space="preserve">  CAPT MIDI  (1)</t>
  </si>
  <si>
    <t>MMD-AUD-0041</t>
  </si>
  <si>
    <t>FISHMAN WIRELESS MIDI CONTROLLER GUITAR</t>
  </si>
  <si>
    <t>Fishmann</t>
  </si>
  <si>
    <t>CAPT MIDI</t>
  </si>
  <si>
    <t>T-138-E-826-00</t>
  </si>
  <si>
    <t xml:space="preserve">  CDJ / XDJ / DDJ  (6)</t>
  </si>
  <si>
    <t>MMD-AUD-0042</t>
  </si>
  <si>
    <t>DDJ-400 PIONEER</t>
  </si>
  <si>
    <t>Pioneer</t>
  </si>
  <si>
    <t>CDJ / XDJ / DDJ</t>
  </si>
  <si>
    <t>SGMP118007NN</t>
  </si>
  <si>
    <t>MMD-AUD-0043</t>
  </si>
  <si>
    <t>FLX4</t>
  </si>
  <si>
    <t>CHMP123892NN</t>
  </si>
  <si>
    <t>MMD-AUD-0044</t>
  </si>
  <si>
    <t>AGMP409104NN</t>
  </si>
  <si>
    <t>MMD-AUD-0045</t>
  </si>
  <si>
    <t>SEMP003812EQ</t>
  </si>
  <si>
    <t>MMD-AUD-0046</t>
  </si>
  <si>
    <t>XDJ-RX PIONEER</t>
  </si>
  <si>
    <t>QAMP000522EH</t>
  </si>
  <si>
    <t>MMD-AUD-0047</t>
  </si>
  <si>
    <t>TDMP005734EH</t>
  </si>
  <si>
    <t xml:space="preserve">  DI  (9)</t>
  </si>
  <si>
    <t>MMD-AUD-0049</t>
  </si>
  <si>
    <t>PHANTOM POWERED DI-BOX</t>
  </si>
  <si>
    <t>DI</t>
  </si>
  <si>
    <t>S170605566062</t>
  </si>
  <si>
    <t>MMD-AUD-0050</t>
  </si>
  <si>
    <t>ULTRA-DI DI600P</t>
  </si>
  <si>
    <t>S1501356493</t>
  </si>
  <si>
    <t>MMD-AUD-0051</t>
  </si>
  <si>
    <t>S220900421493</t>
  </si>
  <si>
    <t>MMD-AUD-0052</t>
  </si>
  <si>
    <t>S220900426493</t>
  </si>
  <si>
    <t>MMD-AUD-0053</t>
  </si>
  <si>
    <t>S220900428493</t>
  </si>
  <si>
    <t>MMD-AUD-0054</t>
  </si>
  <si>
    <t>S220900430493</t>
  </si>
  <si>
    <t>MMD-AUD-0055</t>
  </si>
  <si>
    <t>ULTRA-DI DI600P COM CASE</t>
  </si>
  <si>
    <t>S200900605493</t>
  </si>
  <si>
    <t>MMD-AUD-0056</t>
  </si>
  <si>
    <t>S200900714493</t>
  </si>
  <si>
    <t>MMD-AUD-0057</t>
  </si>
  <si>
    <t>S200900834493</t>
  </si>
  <si>
    <t xml:space="preserve">  EFFECTS  (3)</t>
  </si>
  <si>
    <t>MMD-AUD-0058</t>
  </si>
  <si>
    <t>PROFX6V3</t>
  </si>
  <si>
    <t>Mackie</t>
  </si>
  <si>
    <t>EFFECTS</t>
  </si>
  <si>
    <t>2051372CPMF0164</t>
  </si>
  <si>
    <t>MMD-AUD-0059</t>
  </si>
  <si>
    <t>2051372CPMF0197</t>
  </si>
  <si>
    <t>MMD-AUD-0060</t>
  </si>
  <si>
    <t>RMX-1000 / SVWYXJ5</t>
  </si>
  <si>
    <t>DBMP013010ER</t>
  </si>
  <si>
    <t xml:space="preserve">  EQUALIZADOR  (2)</t>
  </si>
  <si>
    <t>MMD-AUD-0061</t>
  </si>
  <si>
    <t>ULTRAGRAPH FBQ-PRO MODEL FBQ1502</t>
  </si>
  <si>
    <t>EQUALIZADOR</t>
  </si>
  <si>
    <t>S1210823205</t>
  </si>
  <si>
    <t>MMD-AUD-0062</t>
  </si>
  <si>
    <t>S121082405</t>
  </si>
  <si>
    <t xml:space="preserve">  FONE  (1)</t>
  </si>
  <si>
    <t>MMD-AUD-0063</t>
  </si>
  <si>
    <t>KZ-ZCN PRO 2</t>
  </si>
  <si>
    <t>Kz-Zcn PRO 2</t>
  </si>
  <si>
    <t>FONE</t>
  </si>
  <si>
    <t xml:space="preserve">  GUITAR SYNTHESIZER  (1)</t>
  </si>
  <si>
    <t>MMD-AUD-0064</t>
  </si>
  <si>
    <t>GR-55</t>
  </si>
  <si>
    <t>GUITAR SYNTHESIZER</t>
  </si>
  <si>
    <t>Z3A1190</t>
  </si>
  <si>
    <t xml:space="preserve">  IN EAR S / FIO  (3)</t>
  </si>
  <si>
    <t>MMD-AUD-0065</t>
  </si>
  <si>
    <t>DSM-600 TX MONITOR TRASMITTER COM 2 BODYPACK</t>
  </si>
  <si>
    <t>Dylan</t>
  </si>
  <si>
    <t>IN EAR S / FIO</t>
  </si>
  <si>
    <t>MMD-AUD-0066</t>
  </si>
  <si>
    <t>PTM-33 - PERSONAL MONITOR SYSTEM COM RECEIVER</t>
  </si>
  <si>
    <t>2009DJ1618</t>
  </si>
  <si>
    <t>Serial Fab.: BODYPACK</t>
  </si>
  <si>
    <t>MMD-AUD-0067</t>
  </si>
  <si>
    <t>UHF WIRELESS MONO IN-EAR MONITOR SYSTEM PTM-33 SERIES</t>
  </si>
  <si>
    <t>PTC12795</t>
  </si>
  <si>
    <t>Serial Fab.: BASE</t>
  </si>
  <si>
    <t xml:space="preserve">  LINE ARRAY  (2)</t>
  </si>
  <si>
    <t>MMD-AUD-0068</t>
  </si>
  <si>
    <t>LK 8 COMPACT</t>
  </si>
  <si>
    <t>Keybass</t>
  </si>
  <si>
    <t>LINE ARRAY</t>
  </si>
  <si>
    <t>MMD-AUD-0069</t>
  </si>
  <si>
    <t xml:space="preserve">  LINE VERTICAL  (2)</t>
  </si>
  <si>
    <t>MMD-AUD-0070</t>
  </si>
  <si>
    <t>Evox J8</t>
  </si>
  <si>
    <t>LINE VERTICAL</t>
  </si>
  <si>
    <t>XDIU00468</t>
  </si>
  <si>
    <t>MMD-AUD-0071</t>
  </si>
  <si>
    <t>XDIZ00461</t>
  </si>
  <si>
    <t xml:space="preserve">  MESA SOM  (7)</t>
  </si>
  <si>
    <t>MMD-AUD-0072</t>
  </si>
  <si>
    <t>EURORACK UB1202</t>
  </si>
  <si>
    <t>MESA SOM</t>
  </si>
  <si>
    <t>N0314515182</t>
  </si>
  <si>
    <t>MMD-AUD-0073</t>
  </si>
  <si>
    <t>EURORACK UB802</t>
  </si>
  <si>
    <t>S1401502180</t>
  </si>
  <si>
    <t>MMD-AUD-0074</t>
  </si>
  <si>
    <t>MG10XU</t>
  </si>
  <si>
    <t>MMD-AUD-0075</t>
  </si>
  <si>
    <t>MXM 4 S AUDIO MIXER</t>
  </si>
  <si>
    <t>Wattsom</t>
  </si>
  <si>
    <t>MMD-AUD-0076</t>
  </si>
  <si>
    <t>PRO R-1604</t>
  </si>
  <si>
    <t>Wharfedale</t>
  </si>
  <si>
    <t>R-1604005431</t>
  </si>
  <si>
    <t>MMD-AUD-0077</t>
  </si>
  <si>
    <t>MG16XU</t>
  </si>
  <si>
    <t>BRAGXH01003</t>
  </si>
  <si>
    <t>MMD-AUD-0078</t>
  </si>
  <si>
    <t>S180100642AWN</t>
  </si>
  <si>
    <t xml:space="preserve">  MIC  (1)</t>
  </si>
  <si>
    <t>MMD-AUD-0098</t>
  </si>
  <si>
    <t>Microfone</t>
  </si>
  <si>
    <t>Skp-Pro Audio</t>
  </si>
  <si>
    <t>MIC</t>
  </si>
  <si>
    <t xml:space="preserve">  MIC C/ FIO  (5)</t>
  </si>
  <si>
    <t>MMD-AUD-0079</t>
  </si>
  <si>
    <t>58A</t>
  </si>
  <si>
    <t>Beta</t>
  </si>
  <si>
    <t>MIC C/ FIO</t>
  </si>
  <si>
    <t>MMD-AUD-0080</t>
  </si>
  <si>
    <t>KIT PARA BATERIA SHURE PGA52 CARDIOID POLAR PATTERN</t>
  </si>
  <si>
    <t>MMD-AUD-0081</t>
  </si>
  <si>
    <t>SM58</t>
  </si>
  <si>
    <t>MMD-AUD-0082</t>
  </si>
  <si>
    <t>Super 55</t>
  </si>
  <si>
    <t>0420617199 / 32...</t>
  </si>
  <si>
    <t>Serial Fab.: NA CAIXA</t>
  </si>
  <si>
    <t>MMD-AUD-0083</t>
  </si>
  <si>
    <t>Lapela</t>
  </si>
  <si>
    <t xml:space="preserve">  MIC LAPELA  (1)</t>
  </si>
  <si>
    <t>MMD-AUD-0084</t>
  </si>
  <si>
    <t>MICWL</t>
  </si>
  <si>
    <t>MIC LAPELA</t>
  </si>
  <si>
    <t xml:space="preserve">  MIC S/ FIO  (20)</t>
  </si>
  <si>
    <t>MMD-AUD-0085</t>
  </si>
  <si>
    <t>EWD1</t>
  </si>
  <si>
    <t>Microfone SEM FIO</t>
  </si>
  <si>
    <t>MIC S/ FIO</t>
  </si>
  <si>
    <t>556721</t>
  </si>
  <si>
    <t>MMD-AUD-0086</t>
  </si>
  <si>
    <t>PTU-7000</t>
  </si>
  <si>
    <t>XFYU728967</t>
  </si>
  <si>
    <t>MMD-AUD-0087</t>
  </si>
  <si>
    <t>Transmitter SK100 G3</t>
  </si>
  <si>
    <t>4350032599</t>
  </si>
  <si>
    <t>MMD-AUD-0088</t>
  </si>
  <si>
    <t>4350033641</t>
  </si>
  <si>
    <t>MMD-AUD-0089</t>
  </si>
  <si>
    <t>Beta 58A + GLXD2 Z2</t>
  </si>
  <si>
    <t>MMD-AUD-0090</t>
  </si>
  <si>
    <t>EW100 G3 - Freq G</t>
  </si>
  <si>
    <t>0232000163</t>
  </si>
  <si>
    <t>MMD-AUD-0091</t>
  </si>
  <si>
    <t>SKM100 G3 - Freq E</t>
  </si>
  <si>
    <t>416900670</t>
  </si>
  <si>
    <t>MMD-AUD-0092</t>
  </si>
  <si>
    <t>SKM100 G3 - Freq G</t>
  </si>
  <si>
    <t>4352014009</t>
  </si>
  <si>
    <t>MMD-AUD-0093</t>
  </si>
  <si>
    <t>SKM100 G4 - Freq G</t>
  </si>
  <si>
    <t>4278001136</t>
  </si>
  <si>
    <t>MMD-AUD-0094</t>
  </si>
  <si>
    <t>SKM35 - Freq. G</t>
  </si>
  <si>
    <t>MMD-AUD-0095</t>
  </si>
  <si>
    <t>T2 Wireless Transmitter - Freq. CF</t>
  </si>
  <si>
    <t>0123980263</t>
  </si>
  <si>
    <t>MMD-AUD-0096</t>
  </si>
  <si>
    <t>MMD-AUD-0097</t>
  </si>
  <si>
    <t>MMD-AUD-0099</t>
  </si>
  <si>
    <t>T2 Wireless Transmitter - Freq. CV</t>
  </si>
  <si>
    <t>0510990353</t>
  </si>
  <si>
    <t>MMD-AUD-0101</t>
  </si>
  <si>
    <t>Bodypack Wireless Transmitter R 502-603mhz + Mic Madonna + Mic Lavalier</t>
  </si>
  <si>
    <t>MMD-AUD-0102</t>
  </si>
  <si>
    <t>MMD-AUD-0103</t>
  </si>
  <si>
    <t>PTU-7000B MADONNA</t>
  </si>
  <si>
    <t>X002I3XGCR</t>
  </si>
  <si>
    <t>*BOX COM 04 CHANNEL UHF WIRELESS RECEIVER / 04 ANTENNAS /...</t>
  </si>
  <si>
    <t>MMD-AUD-0104</t>
  </si>
  <si>
    <t>MICROFONE SEM FIO PHENYX PRO</t>
  </si>
  <si>
    <t>MMD-AUD-0105</t>
  </si>
  <si>
    <t>Microfone bastão Freq range 502-603Mhz</t>
  </si>
  <si>
    <t>MMD-AUD-0106</t>
  </si>
  <si>
    <t xml:space="preserve">  MIXER  (1)</t>
  </si>
  <si>
    <t>MMD-AUD-0107</t>
  </si>
  <si>
    <t>DJM-400</t>
  </si>
  <si>
    <t>MIXER</t>
  </si>
  <si>
    <t>JCMP013386LL</t>
  </si>
  <si>
    <t xml:space="preserve">  MUSIC PLAYER  (1)</t>
  </si>
  <si>
    <t>MMD-AUD-0108</t>
  </si>
  <si>
    <t>KONTROL X1 MK2</t>
  </si>
  <si>
    <t>Traktor</t>
  </si>
  <si>
    <t>MUSIC PLAYER</t>
  </si>
  <si>
    <t>KX118461549709AA</t>
  </si>
  <si>
    <t xml:space="preserve">  PROC AUDIO  (1)</t>
  </si>
  <si>
    <t>MMD-AUD-0109</t>
  </si>
  <si>
    <t>VENUE 360</t>
  </si>
  <si>
    <t>DBX</t>
  </si>
  <si>
    <t>PROC AUDIO</t>
  </si>
  <si>
    <t xml:space="preserve">  RECEPTOR DE ANTENA  (1)</t>
  </si>
  <si>
    <t>MMD-AUD-0110</t>
  </si>
  <si>
    <t>pas 225</t>
  </si>
  <si>
    <t>RECEPTOR DE ANTENA</t>
  </si>
  <si>
    <t xml:space="preserve">  RX MIC  (13)</t>
  </si>
  <si>
    <t>MMD-AUD-0111</t>
  </si>
  <si>
    <t>4448005984.0</t>
  </si>
  <si>
    <t>RX MIC</t>
  </si>
  <si>
    <t>MMD-AUD-0112</t>
  </si>
  <si>
    <t>Evolution Wireless Digital Handheld set - EWD1 Digital c/ 2 ant. + case e fonte</t>
  </si>
  <si>
    <t>1148148038</t>
  </si>
  <si>
    <t>MMD-AUD-0113</t>
  </si>
  <si>
    <t>Receiver - EM100 G3 - Freq A</t>
  </si>
  <si>
    <t>4350027437</t>
  </si>
  <si>
    <t>MMD-AUD-0114</t>
  </si>
  <si>
    <t>4290025070</t>
  </si>
  <si>
    <t>MMD-AUD-0115</t>
  </si>
  <si>
    <t>4290024905</t>
  </si>
  <si>
    <t>MMD-AUD-0116</t>
  </si>
  <si>
    <t>Receiver - EM100 G3 - Freq E</t>
  </si>
  <si>
    <t>4149001013</t>
  </si>
  <si>
    <t>MMD-AUD-0117</t>
  </si>
  <si>
    <t>Receiver - EM100 G3 - Freq G</t>
  </si>
  <si>
    <t>4300013224</t>
  </si>
  <si>
    <t>MMD-AUD-0118</t>
  </si>
  <si>
    <t>4300013222</t>
  </si>
  <si>
    <t>MMD-AUD-0119</t>
  </si>
  <si>
    <t>Receiver Wireless EK100 G3</t>
  </si>
  <si>
    <t>4372014549</t>
  </si>
  <si>
    <t>MMD-AUD-0120</t>
  </si>
  <si>
    <t>T4V Diversity Receiver</t>
  </si>
  <si>
    <t>0123960263</t>
  </si>
  <si>
    <t>MMD-AUD-0121</t>
  </si>
  <si>
    <t>0819964095</t>
  </si>
  <si>
    <t>MMD-AUD-0122</t>
  </si>
  <si>
    <t>VWF650</t>
  </si>
  <si>
    <t>65006022466</t>
  </si>
  <si>
    <t>MMD-AUD-0123</t>
  </si>
  <si>
    <t>XS Wireless EM 10 com duas antenas</t>
  </si>
  <si>
    <t>232000161</t>
  </si>
  <si>
    <t xml:space="preserve">  SINTETIZADOR  (2)</t>
  </si>
  <si>
    <t>MMD-AUD-0124</t>
  </si>
  <si>
    <t>MINI-KP KAOSS PAD</t>
  </si>
  <si>
    <t>Korg</t>
  </si>
  <si>
    <t>SINTETIZADOR</t>
  </si>
  <si>
    <t>036115</t>
  </si>
  <si>
    <t>MMD-AUD-0125</t>
  </si>
  <si>
    <t>KO-1 KAOSSILATOR</t>
  </si>
  <si>
    <t>082721</t>
  </si>
  <si>
    <t xml:space="preserve">  SUB  (5)</t>
  </si>
  <si>
    <t>MMD-AUD-0126</t>
  </si>
  <si>
    <t>SUB</t>
  </si>
  <si>
    <t>G3518006N</t>
  </si>
  <si>
    <t>MMD-AUD-0127</t>
  </si>
  <si>
    <t>RGXO20173</t>
  </si>
  <si>
    <t>**PRECISO VIRAR POIS É MUITO PESADO</t>
  </si>
  <si>
    <t>MMD-AUD-0128</t>
  </si>
  <si>
    <t>18'' - ACTIVE</t>
  </si>
  <si>
    <t>Soundbox</t>
  </si>
  <si>
    <t>005677</t>
  </si>
  <si>
    <t>**ESTAVA SEM PLACA</t>
  </si>
  <si>
    <t>MMD-AUD-0129</t>
  </si>
  <si>
    <t>DXS12</t>
  </si>
  <si>
    <t>BRAESP01011</t>
  </si>
  <si>
    <t>MMD-AUD-0130</t>
  </si>
  <si>
    <t xml:space="preserve">  TOTAL: 125 itens</t>
  </si>
  <si>
    <t>ENERGIA  —  Reguas, Centopeias, Extensoes</t>
  </si>
  <si>
    <t>27 itens   |   Valor: R$ 5.785,73   |   Desgaste medio: 3,0/5</t>
  </si>
  <si>
    <t xml:space="preserve">  DIST ENERGIA  (1)</t>
  </si>
  <si>
    <t>MMD-ENE-0006</t>
  </si>
  <si>
    <t>DISTRIBUIDOR DE TOMADA/ FILTRO DE LINHA AC-3000 CD</t>
  </si>
  <si>
    <t>OK</t>
  </si>
  <si>
    <t>DIST ENERGIA</t>
  </si>
  <si>
    <t xml:space="preserve">  FONTE  (1)</t>
  </si>
  <si>
    <t>MMD-ENE-0001</t>
  </si>
  <si>
    <t>FONTE 12V 4270MA RRFONTES</t>
  </si>
  <si>
    <t>FONTE</t>
  </si>
  <si>
    <t xml:space="preserve">  REGUA  (4)</t>
  </si>
  <si>
    <t>MMD-ENE-0002</t>
  </si>
  <si>
    <t>REGUA FIOLUX PRETA 12 TOMADAS</t>
  </si>
  <si>
    <t>Fiolux</t>
  </si>
  <si>
    <t>REGUA</t>
  </si>
  <si>
    <t>MMD-ENE-0003</t>
  </si>
  <si>
    <t>Flolux</t>
  </si>
  <si>
    <t>MMD-ENE-0004</t>
  </si>
  <si>
    <t>MMD-ENE-0005</t>
  </si>
  <si>
    <t>REGUA FIOLUX PRETA 6 TOMADAS</t>
  </si>
  <si>
    <t xml:space="preserve">  REGUA 6 TOMADAS  (1)</t>
  </si>
  <si>
    <t>MMD-ENE-0027</t>
  </si>
  <si>
    <t>REGUA 6 TOMADAS FIOLUX 80CM</t>
  </si>
  <si>
    <t>REGUA 6 TOMADAS</t>
  </si>
  <si>
    <t xml:space="preserve">  RÉGUA  (17)</t>
  </si>
  <si>
    <t>MMD-ENE-0007</t>
  </si>
  <si>
    <t>WPD-5</t>
  </si>
  <si>
    <t>Wireconnex</t>
  </si>
  <si>
    <t>RÉGUA</t>
  </si>
  <si>
    <t>MMD-ENE-0008</t>
  </si>
  <si>
    <t>MMD-ENE-0009</t>
  </si>
  <si>
    <t>MMD-ENE-0010</t>
  </si>
  <si>
    <t>MMD-ENE-0011</t>
  </si>
  <si>
    <t>MMD-ENE-0012</t>
  </si>
  <si>
    <t>MMD-ENE-0013</t>
  </si>
  <si>
    <t>MMD-ENE-0014</t>
  </si>
  <si>
    <t>MMD-ENE-0015</t>
  </si>
  <si>
    <t>MMD-ENE-0016</t>
  </si>
  <si>
    <t>MMD-ENE-0017</t>
  </si>
  <si>
    <t>MMD-ENE-0018</t>
  </si>
  <si>
    <t>MMD-ENE-0019</t>
  </si>
  <si>
    <t>MMD-ENE-0020</t>
  </si>
  <si>
    <t>MMD-ENE-0021</t>
  </si>
  <si>
    <t>MMD-ENE-0022</t>
  </si>
  <si>
    <t>MMD-ENE-0023</t>
  </si>
  <si>
    <t xml:space="preserve">  TRANSFORMADOR  (3)</t>
  </si>
  <si>
    <t>MMD-ENE-0024</t>
  </si>
  <si>
    <t>ETIQUETA LIDER - COR COBRE</t>
  </si>
  <si>
    <t>TRANSFORMADOR</t>
  </si>
  <si>
    <t>*Transformador pesado cobre</t>
  </si>
  <si>
    <t>MMD-ENE-0025</t>
  </si>
  <si>
    <t>ETIQUETA PREMIUM 5000VA FIOLUX</t>
  </si>
  <si>
    <t>*Transformador preto pesado com alça</t>
  </si>
  <si>
    <t>MMD-ENE-0026</t>
  </si>
  <si>
    <t>SEM ETIQUETA</t>
  </si>
  <si>
    <t>*Transformador pequeno preto leve</t>
  </si>
  <si>
    <t xml:space="preserve">  TOTAL: 27 itens</t>
  </si>
  <si>
    <t>ESTRUTURA  —  Tripes, Box Truss, Praticaveis</t>
  </si>
  <si>
    <t>43 itens   |   Valor: R$ 17.629,93   |   Desgaste medio: 3,0/5</t>
  </si>
  <si>
    <t xml:space="preserve">  BOX TRUSS  (1)</t>
  </si>
  <si>
    <t>MMD-EST-0035</t>
  </si>
  <si>
    <t>Q20 3 M X 2 M COM BASE</t>
  </si>
  <si>
    <t>BOX TRUSS</t>
  </si>
  <si>
    <t xml:space="preserve">  GERAL  (3)</t>
  </si>
  <si>
    <t>MMD-EST-0036</t>
  </si>
  <si>
    <t>PÉS DE 1 METRO</t>
  </si>
  <si>
    <t>GERAL</t>
  </si>
  <si>
    <t>MMD-EST-0037</t>
  </si>
  <si>
    <t>PÉS DE 20 CM</t>
  </si>
  <si>
    <t>MMD-EST-0038</t>
  </si>
  <si>
    <t>PÉS DE 40 CM</t>
  </si>
  <si>
    <t xml:space="preserve">  PRATICAVEL  (5)</t>
  </si>
  <si>
    <t>MMD-EST-0039</t>
  </si>
  <si>
    <t>PRATICÁVEL 1.6 X 0.8 M</t>
  </si>
  <si>
    <t>PRATICAVEL</t>
  </si>
  <si>
    <t>MMD-EST-0040</t>
  </si>
  <si>
    <t>PRATICÁVEL 2 x 1 m</t>
  </si>
  <si>
    <t>MMD-EST-0041</t>
  </si>
  <si>
    <t>MMD-EST-0042</t>
  </si>
  <si>
    <t>MMD-EST-0043</t>
  </si>
  <si>
    <t xml:space="preserve">  SUP TV  (4)</t>
  </si>
  <si>
    <t>MMD-EST-0031</t>
  </si>
  <si>
    <t>SUP TV</t>
  </si>
  <si>
    <t>MMD-EST-0032</t>
  </si>
  <si>
    <t>MMD-EST-0033</t>
  </si>
  <si>
    <t>MMD-EST-0034</t>
  </si>
  <si>
    <t xml:space="preserve">  TRIPE CAIXA  (14)</t>
  </si>
  <si>
    <t>MMD-EST-0001</t>
  </si>
  <si>
    <t>Staner</t>
  </si>
  <si>
    <t>TRIPE CAIXA</t>
  </si>
  <si>
    <t>MMD-EST-0002</t>
  </si>
  <si>
    <t>MMD-EST-0003</t>
  </si>
  <si>
    <t>MMD-EST-0004</t>
  </si>
  <si>
    <t>MMD-EST-0005</t>
  </si>
  <si>
    <t>MMD-EST-0006</t>
  </si>
  <si>
    <t>MMD-EST-0007</t>
  </si>
  <si>
    <t>MMD-EST-0008</t>
  </si>
  <si>
    <t>MMD-EST-0009</t>
  </si>
  <si>
    <t>MMD-EST-0010</t>
  </si>
  <si>
    <t>MMD-EST-0011</t>
  </si>
  <si>
    <t>MMD-EST-0012</t>
  </si>
  <si>
    <t>MMD-EST-0013</t>
  </si>
  <si>
    <t>MMD-EST-0014</t>
  </si>
  <si>
    <t xml:space="preserve">  TRIPE MIC  (16)</t>
  </si>
  <si>
    <t>MMD-EST-0015</t>
  </si>
  <si>
    <t>Saty</t>
  </si>
  <si>
    <t>TRIPE MIC</t>
  </si>
  <si>
    <t>MMD-EST-0016</t>
  </si>
  <si>
    <t>Vector</t>
  </si>
  <si>
    <t>MMD-EST-0017</t>
  </si>
  <si>
    <t>Tripé Pequeno</t>
  </si>
  <si>
    <t>MMD-EST-0018</t>
  </si>
  <si>
    <t>RMV</t>
  </si>
  <si>
    <t>MMD-EST-0019</t>
  </si>
  <si>
    <t>MMD-EST-0020</t>
  </si>
  <si>
    <t>MMD-EST-0021</t>
  </si>
  <si>
    <t>MMD-EST-0022</t>
  </si>
  <si>
    <t>MMD-EST-0023</t>
  </si>
  <si>
    <t>MMD-EST-0024</t>
  </si>
  <si>
    <t>MMD-EST-0025</t>
  </si>
  <si>
    <t>MMD-EST-0026</t>
  </si>
  <si>
    <t>MMD-EST-0027</t>
  </si>
  <si>
    <t>MMD-EST-0028</t>
  </si>
  <si>
    <t>MMD-EST-0029</t>
  </si>
  <si>
    <t>Roxon</t>
  </si>
  <si>
    <t>MMD-EST-0030</t>
  </si>
  <si>
    <t xml:space="preserve">  TOTAL: 43 itens</t>
  </si>
  <si>
    <t>EFEITO  —  Fumaca, Haze, CO2, Fluidos</t>
  </si>
  <si>
    <t>13 itens   |   Valor: R$ 8.441,00   |   Desgaste medio: 2,0/5</t>
  </si>
  <si>
    <t xml:space="preserve">  BICO CO2  (2)</t>
  </si>
  <si>
    <t>MMD-EFE-0001</t>
  </si>
  <si>
    <t>S/ MODELO</t>
  </si>
  <si>
    <t>BICO CO2</t>
  </si>
  <si>
    <t>MMD-EFE-0002</t>
  </si>
  <si>
    <t xml:space="preserve">  CILINDRO  (1)</t>
  </si>
  <si>
    <t>MMD-EFE-0003</t>
  </si>
  <si>
    <t>CILINDRO DE CO2</t>
  </si>
  <si>
    <t>CILINDRO</t>
  </si>
  <si>
    <t xml:space="preserve">  HAZE  (2)</t>
  </si>
  <si>
    <t>MMD-EFE-0004</t>
  </si>
  <si>
    <t>haze agua fog smoke fluid</t>
  </si>
  <si>
    <t>JM Lighting</t>
  </si>
  <si>
    <t>HAZE</t>
  </si>
  <si>
    <t>MMD-EFE-0005</t>
  </si>
  <si>
    <t>haze</t>
  </si>
  <si>
    <t>USA Liquids</t>
  </si>
  <si>
    <t xml:space="preserve">  MAQ FUMACA  (8)</t>
  </si>
  <si>
    <t>MMD-EFE-0006</t>
  </si>
  <si>
    <t>LED LUMINÁRIA MODELO RO-66 2000W</t>
  </si>
  <si>
    <t>Athlanta</t>
  </si>
  <si>
    <t>MAQ FUMACA</t>
  </si>
  <si>
    <t>72568</t>
  </si>
  <si>
    <t>MMD-EFE-0007</t>
  </si>
  <si>
    <t>SKYPIX SK-FM900</t>
  </si>
  <si>
    <t>MMD-EFE-0008</t>
  </si>
  <si>
    <t>SPL1500W</t>
  </si>
  <si>
    <t>Haze Machine</t>
  </si>
  <si>
    <t>MMD-EFE-0009</t>
  </si>
  <si>
    <t>MMD-EFE-0010</t>
  </si>
  <si>
    <t>YJ-600W-110V</t>
  </si>
  <si>
    <t>Zmlama</t>
  </si>
  <si>
    <t>MMD-EFE-0011</t>
  </si>
  <si>
    <t>72569</t>
  </si>
  <si>
    <t>MMD-EFE-0012</t>
  </si>
  <si>
    <t>LK-Y4-600W</t>
  </si>
  <si>
    <t>MMD-EFE-0013</t>
  </si>
  <si>
    <t>F-950</t>
  </si>
  <si>
    <t>TEC Port</t>
  </si>
  <si>
    <t>1802094057</t>
  </si>
  <si>
    <t xml:space="preserve">  TOTAL: 13 itens</t>
  </si>
  <si>
    <t>VIDEO  —  Projetores, Notebooks, Tablets</t>
  </si>
  <si>
    <t>9 itens   |   Valor: R$ 13.022,82   |   Desgaste medio: 3,0/5</t>
  </si>
  <si>
    <t xml:space="preserve">  COMPUTADOR  (1)</t>
  </si>
  <si>
    <t>MMD-VID-0001</t>
  </si>
  <si>
    <t>COMPUTADOR HP PAVILLON TS 23 AIO PC BR</t>
  </si>
  <si>
    <t>HP</t>
  </si>
  <si>
    <t>COMPUTADOR</t>
  </si>
  <si>
    <t>BRG3430081</t>
  </si>
  <si>
    <t xml:space="preserve">  NOTEBOOK  (3)</t>
  </si>
  <si>
    <t>MMD-VID-0002</t>
  </si>
  <si>
    <t>X512FB</t>
  </si>
  <si>
    <t>Asus</t>
  </si>
  <si>
    <t>NOTEBOOK</t>
  </si>
  <si>
    <t>L9N0B6011624383</t>
  </si>
  <si>
    <t>MMD-VID-0003</t>
  </si>
  <si>
    <t>MACBOOK PRO A1398</t>
  </si>
  <si>
    <t>Apple</t>
  </si>
  <si>
    <t>C02MQ4FGFD56</t>
  </si>
  <si>
    <t>MMD-VID-0008</t>
  </si>
  <si>
    <t>Book 550XDA</t>
  </si>
  <si>
    <t>Samsung</t>
  </si>
  <si>
    <t xml:space="preserve">  PROJETOR  (2)</t>
  </si>
  <si>
    <t>MMD-VID-0004</t>
  </si>
  <si>
    <t>MP515 DIGITAL PROJECTOR</t>
  </si>
  <si>
    <t>Benq</t>
  </si>
  <si>
    <t>PROJETOR</t>
  </si>
  <si>
    <t>PD23A01110000</t>
  </si>
  <si>
    <t>MMD-VID-0005</t>
  </si>
  <si>
    <t>V260R MODEL N. NP-V260RB</t>
  </si>
  <si>
    <t>23F0729EC</t>
  </si>
  <si>
    <t xml:space="preserve">  SENDBOX  (1)</t>
  </si>
  <si>
    <t>MMD-VID-0006</t>
  </si>
  <si>
    <t>Sendcard</t>
  </si>
  <si>
    <t>Linsn</t>
  </si>
  <si>
    <t>SENDBOX</t>
  </si>
  <si>
    <t xml:space="preserve">  SUPORTE  (1)</t>
  </si>
  <si>
    <t>MMD-VID-0007</t>
  </si>
  <si>
    <t>Suporte Preto fixo para notebook</t>
  </si>
  <si>
    <t>SUPORTE</t>
  </si>
  <si>
    <t xml:space="preserve">  TABLET  (1)</t>
  </si>
  <si>
    <t>MMD-VID-0009</t>
  </si>
  <si>
    <t>A16 - A3354</t>
  </si>
  <si>
    <t>Ipad</t>
  </si>
  <si>
    <t>TABLET</t>
  </si>
  <si>
    <t>L2PD49743N</t>
  </si>
  <si>
    <t xml:space="preserve">  TOTAL: 9 itens</t>
  </si>
  <si>
    <t>ACESSORIOS | Cases, Ferramentas, Roteadores</t>
  </si>
  <si>
    <t>24 itens   |   Valor: R$ 34.050,41   |   Desgaste medio: 2,9/5</t>
  </si>
  <si>
    <t>MMD-ACE-0001</t>
  </si>
  <si>
    <t>ewd skm-s freq.q1-6</t>
  </si>
  <si>
    <t>54335089109</t>
  </si>
  <si>
    <t xml:space="preserve">  CASE  (1)</t>
  </si>
  <si>
    <t>MMD-ACE-0022</t>
  </si>
  <si>
    <t>VAZIO SEM NUMERO</t>
  </si>
  <si>
    <t>Universal Cases</t>
  </si>
  <si>
    <t>CASE</t>
  </si>
  <si>
    <t xml:space="preserve">  CLIMATIZADOR  (3)</t>
  </si>
  <si>
    <t>MMD-ACE-0002</t>
  </si>
  <si>
    <t>PLI-45M</t>
  </si>
  <si>
    <t>Poloclima</t>
  </si>
  <si>
    <t>CLIMATIZADOR</t>
  </si>
  <si>
    <t>1505910120424</t>
  </si>
  <si>
    <t>MMD-ACE-0003</t>
  </si>
  <si>
    <t>PLI-70M</t>
  </si>
  <si>
    <t>1505930840424</t>
  </si>
  <si>
    <t>MMD-ACE-0004</t>
  </si>
  <si>
    <t>1505910080424</t>
  </si>
  <si>
    <t xml:space="preserve">  EFFECTS  (1)</t>
  </si>
  <si>
    <t>MMD-ACE-0005</t>
  </si>
  <si>
    <t>Teil 2</t>
  </si>
  <si>
    <t>Revolo</t>
  </si>
  <si>
    <t xml:space="preserve">  MIC  (2)</t>
  </si>
  <si>
    <t>MMD-ACE-0006</t>
  </si>
  <si>
    <t>5272011988</t>
  </si>
  <si>
    <t>MMD-ACE-0007</t>
  </si>
  <si>
    <t>SKM100s G4 - Freq g</t>
  </si>
  <si>
    <t>4338001413</t>
  </si>
  <si>
    <t xml:space="preserve">  MOVING BEAM  (4)</t>
  </si>
  <si>
    <t>MMD-ACE-0008</t>
  </si>
  <si>
    <t>ST-X251LAYX2</t>
  </si>
  <si>
    <t>MOVING BEAM</t>
  </si>
  <si>
    <t>MMD-ACE-0009</t>
  </si>
  <si>
    <t>MMD-ACE-0010</t>
  </si>
  <si>
    <t>MMD-ACE-0011</t>
  </si>
  <si>
    <t xml:space="preserve">  OUTRO  (1)</t>
  </si>
  <si>
    <t>MMD-ACE-0024</t>
  </si>
  <si>
    <t>Sender Box SB-8</t>
  </si>
  <si>
    <t>OUTRO</t>
  </si>
  <si>
    <t xml:space="preserve">  PAR LEDS  (1)</t>
  </si>
  <si>
    <t>MMD-ACE-0012</t>
  </si>
  <si>
    <t>PAR LEDS</t>
  </si>
  <si>
    <t xml:space="preserve">  PEDALEIRA  (1)</t>
  </si>
  <si>
    <t>MMD-ACE-0013</t>
  </si>
  <si>
    <t>GR-33</t>
  </si>
  <si>
    <t>Rolland</t>
  </si>
  <si>
    <t>PEDALEIRA</t>
  </si>
  <si>
    <t>AQ19190</t>
  </si>
  <si>
    <t xml:space="preserve">  RADIO  (1)</t>
  </si>
  <si>
    <t>MMD-ACE-0023</t>
  </si>
  <si>
    <t>talk about (Kit completo com fonte e fone)</t>
  </si>
  <si>
    <t>Motorola</t>
  </si>
  <si>
    <t>RADIO</t>
  </si>
  <si>
    <t xml:space="preserve">  RECEPTOR  (1)</t>
  </si>
  <si>
    <t>MMD-ACE-0014</t>
  </si>
  <si>
    <t>WRV 210 com duas antenas</t>
  </si>
  <si>
    <t>Cisco</t>
  </si>
  <si>
    <t>RECEPTOR</t>
  </si>
  <si>
    <t>GSZ1528000J</t>
  </si>
  <si>
    <t xml:space="preserve">  RIBALTA  (3)</t>
  </si>
  <si>
    <t>MMD-ACE-0015</t>
  </si>
  <si>
    <t>ST-1260XWS</t>
  </si>
  <si>
    <t>RIBALTA</t>
  </si>
  <si>
    <t>MMD-ACE-0016</t>
  </si>
  <si>
    <t>MMD-ACE-0017</t>
  </si>
  <si>
    <t xml:space="preserve">  ROTEADOR  (3)</t>
  </si>
  <si>
    <t>MMD-ACE-0018</t>
  </si>
  <si>
    <t>ROUTER BRANCO</t>
  </si>
  <si>
    <t>ROTEADOR</t>
  </si>
  <si>
    <t>MMD-ACE-0019</t>
  </si>
  <si>
    <t>8 Port Nway Switch modelo ENH908-NWY</t>
  </si>
  <si>
    <t>Encore Eletronics</t>
  </si>
  <si>
    <t>11097073002285</t>
  </si>
  <si>
    <t>MMD-ACE-0020</t>
  </si>
  <si>
    <t>DES-1008C</t>
  </si>
  <si>
    <t>Dlink</t>
  </si>
  <si>
    <t>QS7O211032625</t>
  </si>
  <si>
    <t xml:space="preserve">  TESTER DE CABOS DE AUDIO  (1)</t>
  </si>
  <si>
    <t>MMD-ACE-0021</t>
  </si>
  <si>
    <t>CABLE TESTER CT100</t>
  </si>
  <si>
    <t>TESTER DE CABOS DE AUDIO</t>
  </si>
  <si>
    <t>N1007727133</t>
  </si>
  <si>
    <t>Serial Fab.: DATE CODE 1007</t>
  </si>
  <si>
    <t xml:space="preserve">  TOTAL: 24 itens</t>
  </si>
  <si>
    <t>Descricao</t>
  </si>
  <si>
    <t>QR Code</t>
  </si>
  <si>
    <t>MMD-LOT-001</t>
  </si>
  <si>
    <t xml:space="preserve">Lote 7x </t>
  </si>
  <si>
    <t>https://mmd.app/l/MMD-LOT-001</t>
  </si>
  <si>
    <t>MMD-LOT-002</t>
  </si>
  <si>
    <t xml:space="preserve">Lote 1x </t>
  </si>
  <si>
    <t>USB A USB B</t>
  </si>
  <si>
    <t>https://mmd.app/l/MMD-LOT-002</t>
  </si>
  <si>
    <t>MMD-LOT-003</t>
  </si>
  <si>
    <t>Lote 6x CABO AC 1.3M A 1.5M</t>
  </si>
  <si>
    <t>AC</t>
  </si>
  <si>
    <t>https://mmd.app/l/MMD-LOT-003</t>
  </si>
  <si>
    <t>MMD-LOT-004</t>
  </si>
  <si>
    <t>Lote 1x CABO AC 1.75M</t>
  </si>
  <si>
    <t>https://mmd.app/l/MMD-LOT-004</t>
  </si>
  <si>
    <t>MMD-LOT-005</t>
  </si>
  <si>
    <t>Lote 1x CABO AC 1.8M</t>
  </si>
  <si>
    <t>https://mmd.app/l/MMD-LOT-005</t>
  </si>
  <si>
    <t>MMD-LOT-006</t>
  </si>
  <si>
    <t>Lote 4x CABO AC 1M</t>
  </si>
  <si>
    <t>https://mmd.app/l/MMD-LOT-006</t>
  </si>
  <si>
    <t>MMD-LOT-007</t>
  </si>
  <si>
    <t>Lote 1x CABO AC 3M</t>
  </si>
  <si>
    <t>https://mmd.app/l/MMD-LOT-007</t>
  </si>
  <si>
    <t>MMD-LOT-008</t>
  </si>
  <si>
    <t>Lote 4x CABO AC 4X 60CM</t>
  </si>
  <si>
    <t>AC 4X</t>
  </si>
  <si>
    <t>https://mmd.app/l/MMD-LOT-008</t>
  </si>
  <si>
    <t>MMD-LOT-009</t>
  </si>
  <si>
    <t>Lote 1x CABO AC 8 1.3M</t>
  </si>
  <si>
    <t>AC 8</t>
  </si>
  <si>
    <t>https://mmd.app/l/MMD-LOT-009</t>
  </si>
  <si>
    <t>MMD-LOT-010</t>
  </si>
  <si>
    <t>Lote 1x CABO AC 85CM</t>
  </si>
  <si>
    <t>https://mmd.app/l/MMD-LOT-010</t>
  </si>
  <si>
    <t>MMD-LOT-011</t>
  </si>
  <si>
    <t>Lote 1x CABO AC CINZA 5M</t>
  </si>
  <si>
    <t>https://mmd.app/l/MMD-LOT-011</t>
  </si>
  <si>
    <t>MMD-LOT-012</t>
  </si>
  <si>
    <t>Lote 1x CABO ADAPTADOR DIVISOR P10</t>
  </si>
  <si>
    <t>ADAPTADOR DIVISOR P10</t>
  </si>
  <si>
    <t>https://mmd.app/l/MMD-LOT-012</t>
  </si>
  <si>
    <t>MMD-LOT-013</t>
  </si>
  <si>
    <t>Lote 1x CABO DISPLAY PORT 1.8M</t>
  </si>
  <si>
    <t>DISPLAY PORT</t>
  </si>
  <si>
    <t>https://mmd.app/l/MMD-LOT-013</t>
  </si>
  <si>
    <t>MMD-LOT-014</t>
  </si>
  <si>
    <t>Lote 1x CABO DISPLAY PORT 3M</t>
  </si>
  <si>
    <t>https://mmd.app/l/MMD-LOT-014</t>
  </si>
  <si>
    <t>MMD-LOT-015</t>
  </si>
  <si>
    <t>Lote 1x CABO DMX 90CM</t>
  </si>
  <si>
    <t>DMX</t>
  </si>
  <si>
    <t>https://mmd.app/l/MMD-LOT-015</t>
  </si>
  <si>
    <t>MMD-LOT-016</t>
  </si>
  <si>
    <t>Lote 1x CABO DVI 1.2M</t>
  </si>
  <si>
    <t>DVI</t>
  </si>
  <si>
    <t>https://mmd.app/l/MMD-LOT-016</t>
  </si>
  <si>
    <t>MMD-LOT-017</t>
  </si>
  <si>
    <t>Lote 1x CABO DVI 1.4M</t>
  </si>
  <si>
    <t>https://mmd.app/l/MMD-LOT-017</t>
  </si>
  <si>
    <t>MMD-LOT-018</t>
  </si>
  <si>
    <t>Lote 1x CABO DVI HDMI 1.3M</t>
  </si>
  <si>
    <t>DVI HDMI</t>
  </si>
  <si>
    <t>https://mmd.app/l/MMD-LOT-018</t>
  </si>
  <si>
    <t>MMD-LOT-019</t>
  </si>
  <si>
    <t>Lote 7x CABO EXTENSOR AC 1.8M</t>
  </si>
  <si>
    <t>EXT AC</t>
  </si>
  <si>
    <t>https://mmd.app/l/MMD-LOT-019</t>
  </si>
  <si>
    <t>MMD-LOT-020</t>
  </si>
  <si>
    <t>Lote 9x CABO EXTENSOR AC 1M</t>
  </si>
  <si>
    <t>https://mmd.app/l/MMD-LOT-020</t>
  </si>
  <si>
    <t>MMD-LOT-021</t>
  </si>
  <si>
    <t>Lote 4x CABO EXTENSOR AC 50CM</t>
  </si>
  <si>
    <t>https://mmd.app/l/MMD-LOT-021</t>
  </si>
  <si>
    <t>MMD-LOT-022</t>
  </si>
  <si>
    <t>Lote 3x CABO HDMI 1.8M</t>
  </si>
  <si>
    <t>HDMI</t>
  </si>
  <si>
    <t>https://mmd.app/l/MMD-LOT-022</t>
  </si>
  <si>
    <t>MMD-LOT-023</t>
  </si>
  <si>
    <t>Lote 1x CABO HDMI 1M</t>
  </si>
  <si>
    <t>https://mmd.app/l/MMD-LOT-023</t>
  </si>
  <si>
    <t>MMD-LOT-024</t>
  </si>
  <si>
    <t>Lote 1x CABO HDMI 2M</t>
  </si>
  <si>
    <t>https://mmd.app/l/MMD-LOT-024</t>
  </si>
  <si>
    <t>MMD-LOT-025</t>
  </si>
  <si>
    <t>Lote 1x CABO HDMI 5M</t>
  </si>
  <si>
    <t>https://mmd.app/l/MMD-LOT-025</t>
  </si>
  <si>
    <t>MMD-LOT-026</t>
  </si>
  <si>
    <t>Lote 1x CABO HDMI DISPLAY PORT</t>
  </si>
  <si>
    <t>HDMI DISPLAY PORT</t>
  </si>
  <si>
    <t>https://mmd.app/l/MMD-LOT-026</t>
  </si>
  <si>
    <t>MMD-LOT-027</t>
  </si>
  <si>
    <t>Lote 1x CABO MIDI DIN 1.5M</t>
  </si>
  <si>
    <t>MIDI DIN</t>
  </si>
  <si>
    <t>https://mmd.app/l/MMD-LOT-027</t>
  </si>
  <si>
    <t>MMD-LOT-028</t>
  </si>
  <si>
    <t>Lote 2x CABO MIDI DIN 3.6M</t>
  </si>
  <si>
    <t>https://mmd.app/l/MMD-LOT-028</t>
  </si>
  <si>
    <t>MMD-LOT-029</t>
  </si>
  <si>
    <t>Lote 1x CABO MIDI DIN 3M</t>
  </si>
  <si>
    <t>https://mmd.app/l/MMD-LOT-029</t>
  </si>
  <si>
    <t>MMD-LOT-030</t>
  </si>
  <si>
    <t>Lote 1x CABO MINI DISPLAYPORT</t>
  </si>
  <si>
    <t>MINI DISPLAYPORT</t>
  </si>
  <si>
    <t>https://mmd.app/l/MMD-LOT-030</t>
  </si>
  <si>
    <t>MMD-LOT-031</t>
  </si>
  <si>
    <t>Lote 1x CABO MINI DISPLAYPORT THUNDERBOLT 2M</t>
  </si>
  <si>
    <t>https://mmd.app/l/MMD-LOT-031</t>
  </si>
  <si>
    <t>MMD-LOT-032</t>
  </si>
  <si>
    <t>Lote 1x CABO MINI DPPORT P DPPORT</t>
  </si>
  <si>
    <t>MINI DPPORT P DPPORT</t>
  </si>
  <si>
    <t>https://mmd.app/l/MMD-LOT-032</t>
  </si>
  <si>
    <t>MMD-LOT-033</t>
  </si>
  <si>
    <t>Lote 1x CABO P10 P10 7M</t>
  </si>
  <si>
    <t>P10 P10</t>
  </si>
  <si>
    <t>https://mmd.app/l/MMD-LOT-033</t>
  </si>
  <si>
    <t>MMD-LOT-034</t>
  </si>
  <si>
    <t>Lote 2x CABO P10 P2 1M</t>
  </si>
  <si>
    <t>P10 P2</t>
  </si>
  <si>
    <t>https://mmd.app/l/MMD-LOT-034</t>
  </si>
  <si>
    <t>MMD-LOT-035</t>
  </si>
  <si>
    <t>Lote 7x CABO P10 P2 3M</t>
  </si>
  <si>
    <t>https://mmd.app/l/MMD-LOT-035</t>
  </si>
  <si>
    <t>MMD-LOT-036</t>
  </si>
  <si>
    <t>Lote 1x CABO P2 P2 1.4M</t>
  </si>
  <si>
    <t>P2 P2</t>
  </si>
  <si>
    <t>https://mmd.app/l/MMD-LOT-036</t>
  </si>
  <si>
    <t>MMD-LOT-037</t>
  </si>
  <si>
    <t>Lote 1x CABO P2 P2 1M</t>
  </si>
  <si>
    <t>https://mmd.app/l/MMD-LOT-037</t>
  </si>
  <si>
    <t>MMD-LOT-038</t>
  </si>
  <si>
    <t>Lote 1x CABO P2 USB A 1M</t>
  </si>
  <si>
    <t>P2 USB A</t>
  </si>
  <si>
    <t>https://mmd.app/l/MMD-LOT-038</t>
  </si>
  <si>
    <t>MMD-LOT-039</t>
  </si>
  <si>
    <t>Lote 1x CABO PARALELO 1M</t>
  </si>
  <si>
    <t>PARALELO</t>
  </si>
  <si>
    <t>https://mmd.app/l/MMD-LOT-039</t>
  </si>
  <si>
    <t>MMD-LOT-040</t>
  </si>
  <si>
    <t>Lote 24x CABO PARALELO 50CM</t>
  </si>
  <si>
    <t>https://mmd.app/l/MMD-LOT-040</t>
  </si>
  <si>
    <t>MMD-LOT-041</t>
  </si>
  <si>
    <t>Lote 1x CABO POWERCON 1.1M</t>
  </si>
  <si>
    <t>POWERCON AC</t>
  </si>
  <si>
    <t>https://mmd.app/l/MMD-LOT-041</t>
  </si>
  <si>
    <t>MMD-LOT-042</t>
  </si>
  <si>
    <t>Lote 3x CABO POWERCON 1.7M</t>
  </si>
  <si>
    <t>https://mmd.app/l/MMD-LOT-042</t>
  </si>
  <si>
    <t>MMD-LOT-043</t>
  </si>
  <si>
    <t>Lote 1x CABO POWERCON PIAL 2.5M</t>
  </si>
  <si>
    <t>POWERCON PIAL</t>
  </si>
  <si>
    <t>https://mmd.app/l/MMD-LOT-043</t>
  </si>
  <si>
    <t>MMD-LOT-044</t>
  </si>
  <si>
    <t>Lote 1x CABO POWERCON PIAL 2M</t>
  </si>
  <si>
    <t>https://mmd.app/l/MMD-LOT-044</t>
  </si>
  <si>
    <t>MMD-LOT-045</t>
  </si>
  <si>
    <t>Lote 2x CABO RCA P10 90CM</t>
  </si>
  <si>
    <t>RCA P10</t>
  </si>
  <si>
    <t>https://mmd.app/l/MMD-LOT-045</t>
  </si>
  <si>
    <t>MMD-LOT-046</t>
  </si>
  <si>
    <t>Lote 1x CABO RCA P2 5M</t>
  </si>
  <si>
    <t>RCA P2</t>
  </si>
  <si>
    <t>https://mmd.app/l/MMD-LOT-046</t>
  </si>
  <si>
    <t>MMD-LOT-047</t>
  </si>
  <si>
    <t>Lote 1x CABO RCA XLRm 90CM</t>
  </si>
  <si>
    <t>XLRM RCA</t>
  </si>
  <si>
    <t>https://mmd.app/l/MMD-LOT-047</t>
  </si>
  <si>
    <t>MMD-LOT-048</t>
  </si>
  <si>
    <t>Lote 1x CABO SPEAK ON 12M</t>
  </si>
  <si>
    <t>SPEAK ON</t>
  </si>
  <si>
    <t>https://mmd.app/l/MMD-LOT-048</t>
  </si>
  <si>
    <t>MMD-LOT-049</t>
  </si>
  <si>
    <t>Lote 1x CABO USB A USB B 1M</t>
  </si>
  <si>
    <t>https://mmd.app/l/MMD-LOT-049</t>
  </si>
  <si>
    <t>MMD-LOT-050</t>
  </si>
  <si>
    <t>Lote 1x CABO USB A USB C</t>
  </si>
  <si>
    <t>USB A USB C</t>
  </si>
  <si>
    <t>https://mmd.app/l/MMD-LOT-050</t>
  </si>
  <si>
    <t>MMD-LOT-051</t>
  </si>
  <si>
    <t>Lote 1x CABO USB A USB C 1M</t>
  </si>
  <si>
    <t>https://mmd.app/l/MMD-LOT-051</t>
  </si>
  <si>
    <t>MMD-LOT-052</t>
  </si>
  <si>
    <t>Lote 1x CABO USB A USB C 9M</t>
  </si>
  <si>
    <t>https://mmd.app/l/MMD-LOT-052</t>
  </si>
  <si>
    <t>MMD-LOT-053</t>
  </si>
  <si>
    <t>Lote 1x CABO USB A USB C BRANCO</t>
  </si>
  <si>
    <t>https://mmd.app/l/MMD-LOT-053</t>
  </si>
  <si>
    <t>MMD-LOT-054</t>
  </si>
  <si>
    <t>Lote 2x CABO USB B USB A 1.4M</t>
  </si>
  <si>
    <t>USB B USB A</t>
  </si>
  <si>
    <t>https://mmd.app/l/MMD-LOT-054</t>
  </si>
  <si>
    <t>MMD-LOT-055</t>
  </si>
  <si>
    <t>Lote 2x CABO USB B USB A 1.6M</t>
  </si>
  <si>
    <t>https://mmd.app/l/MMD-LOT-055</t>
  </si>
  <si>
    <t>MMD-LOT-056</t>
  </si>
  <si>
    <t>Lote 1x CABO USB B USB A 1.8M</t>
  </si>
  <si>
    <t>https://mmd.app/l/MMD-LOT-056</t>
  </si>
  <si>
    <t>MMD-LOT-057</t>
  </si>
  <si>
    <t>Lote 1x CABO USB B USB A 1M</t>
  </si>
  <si>
    <t>https://mmd.app/l/MMD-LOT-057</t>
  </si>
  <si>
    <t>MMD-LOT-058</t>
  </si>
  <si>
    <t>Lote 1x CABO USB B USB A 3M</t>
  </si>
  <si>
    <t>https://mmd.app/l/MMD-LOT-058</t>
  </si>
  <si>
    <t>MMD-LOT-059</t>
  </si>
  <si>
    <t>Lote 1x CABO USB B USB A 5M</t>
  </si>
  <si>
    <t>https://mmd.app/l/MMD-LOT-059</t>
  </si>
  <si>
    <t>MMD-LOT-060</t>
  </si>
  <si>
    <t>Lote 1x CABO USB B USB A 90CM</t>
  </si>
  <si>
    <t>https://mmd.app/l/MMD-LOT-060</t>
  </si>
  <si>
    <t>MMD-LOT-061</t>
  </si>
  <si>
    <t>Lote 3x CABO USB B USB C</t>
  </si>
  <si>
    <t>USB B USB C</t>
  </si>
  <si>
    <t>https://mmd.app/l/MMD-LOT-061</t>
  </si>
  <si>
    <t>MMD-LOT-062</t>
  </si>
  <si>
    <t>Lote 1x CABO VGA 1.3M</t>
  </si>
  <si>
    <t>VGA</t>
  </si>
  <si>
    <t>https://mmd.app/l/MMD-LOT-062</t>
  </si>
  <si>
    <t>MMD-LOT-063</t>
  </si>
  <si>
    <t>Lote 1x CABO VGA 1.4M</t>
  </si>
  <si>
    <t>https://mmd.app/l/MMD-LOT-063</t>
  </si>
  <si>
    <t>MMD-LOT-064</t>
  </si>
  <si>
    <t>Lote 1x CABO XLR P2 2M</t>
  </si>
  <si>
    <t>XLR P2</t>
  </si>
  <si>
    <t>https://mmd.app/l/MMD-LOT-064</t>
  </si>
  <si>
    <t>MMD-LOT-065</t>
  </si>
  <si>
    <t>Lote 1x CABO XLR USB C 3M</t>
  </si>
  <si>
    <t>XLR USB C</t>
  </si>
  <si>
    <t>https://mmd.app/l/MMD-LOT-065</t>
  </si>
  <si>
    <t>MMD-LOT-066</t>
  </si>
  <si>
    <t>Lote 2x CABO XLR XLR</t>
  </si>
  <si>
    <t>XLR</t>
  </si>
  <si>
    <t>https://mmd.app/l/MMD-LOT-066</t>
  </si>
  <si>
    <t>MMD-LOT-067</t>
  </si>
  <si>
    <t>Lote 1x CABO XLR XLR 1.3M</t>
  </si>
  <si>
    <t>https://mmd.app/l/MMD-LOT-067</t>
  </si>
  <si>
    <t>MMD-LOT-068</t>
  </si>
  <si>
    <t>Lote 1x CABO XLR XLR 3M</t>
  </si>
  <si>
    <t>https://mmd.app/l/MMD-LOT-068</t>
  </si>
  <si>
    <t>MMD-LOT-069</t>
  </si>
  <si>
    <t>Lote 1x CABO XLR XLR 4.8</t>
  </si>
  <si>
    <t>https://mmd.app/l/MMD-LOT-069</t>
  </si>
  <si>
    <t>MMD-LOT-070</t>
  </si>
  <si>
    <t>Lote 1x CABO XLRm P10 10M</t>
  </si>
  <si>
    <t>XLRM P10</t>
  </si>
  <si>
    <t>https://mmd.app/l/MMD-LOT-070</t>
  </si>
  <si>
    <t>MMD-LOT-071</t>
  </si>
  <si>
    <t>Lote 1x CABO XLRm RCA</t>
  </si>
  <si>
    <t>https://mmd.app/l/MMD-LOT-071</t>
  </si>
  <si>
    <t>MMD-LOT-072</t>
  </si>
  <si>
    <t>Lote 1x Cabo Extensor HDMI 10M</t>
  </si>
  <si>
    <t>EXT HDMI</t>
  </si>
  <si>
    <t>https://mmd.app/l/MMD-LOT-072</t>
  </si>
  <si>
    <t>MMD-LOT-073</t>
  </si>
  <si>
    <t>Lote 50x DMX PARA OUTDOR 1 METRO</t>
  </si>
  <si>
    <t>https://mmd.app/l/MMD-LOT-073</t>
  </si>
  <si>
    <t>MMD-LOT-074</t>
  </si>
  <si>
    <t>Lote 9x DMX PARA OUTDOR 1.5 METRO</t>
  </si>
  <si>
    <t>https://mmd.app/l/MMD-LOT-074</t>
  </si>
  <si>
    <t>MMD-LOT-075</t>
  </si>
  <si>
    <t>Lote 1x DMX PARA OUTDOR 1.77 METRO</t>
  </si>
  <si>
    <t>https://mmd.app/l/MMD-LOT-075</t>
  </si>
  <si>
    <t>MMD-LOT-076</t>
  </si>
  <si>
    <t>Lote 11x DMX PARA OUTDOR 70CM</t>
  </si>
  <si>
    <t>https://mmd.app/l/MMD-LOT-076</t>
  </si>
  <si>
    <t>MMD-LOT-077</t>
  </si>
  <si>
    <t>Lote 1x DMX PIAL 60CM</t>
  </si>
  <si>
    <t>DMX PIAL</t>
  </si>
  <si>
    <t>https://mmd.app/l/MMD-LOT-077</t>
  </si>
  <si>
    <t>MMD-LOT-078</t>
  </si>
  <si>
    <t>Lote 1x EXTENSAO 1 PONTA 10M</t>
  </si>
  <si>
    <t>EXT 1 PTA</t>
  </si>
  <si>
    <t>https://mmd.app/l/MMD-LOT-078</t>
  </si>
  <si>
    <t>MMD-LOT-079</t>
  </si>
  <si>
    <t>Lote 4x EXTENSAO 1 PONTA 1M</t>
  </si>
  <si>
    <t>https://mmd.app/l/MMD-LOT-079</t>
  </si>
  <si>
    <t>MMD-LOT-080</t>
  </si>
  <si>
    <t>Lote 1x EXTENSAO 1 PONTA 2.5M</t>
  </si>
  <si>
    <t>https://mmd.app/l/MMD-LOT-080</t>
  </si>
  <si>
    <t>MMD-LOT-081</t>
  </si>
  <si>
    <t>Lote 1x EXTENSAO 1 PONTA 2M</t>
  </si>
  <si>
    <t>https://mmd.app/l/MMD-LOT-081</t>
  </si>
  <si>
    <t>MMD-LOT-082</t>
  </si>
  <si>
    <t>Lote 1x EXTENSAO 1 PONTA 30CM</t>
  </si>
  <si>
    <t>https://mmd.app/l/MMD-LOT-082</t>
  </si>
  <si>
    <t>MMD-LOT-083</t>
  </si>
  <si>
    <t>Lote 1x EXTENSAO 1 PONTA 4.5M</t>
  </si>
  <si>
    <t>https://mmd.app/l/MMD-LOT-083</t>
  </si>
  <si>
    <t>MMD-LOT-084</t>
  </si>
  <si>
    <t>Lote 2x EXTENSAO 1 PONTA 5M</t>
  </si>
  <si>
    <t>https://mmd.app/l/MMD-LOT-084</t>
  </si>
  <si>
    <t>MMD-LOT-085</t>
  </si>
  <si>
    <t>Lote 3x EXTENSAO 1 PONTA 90CM</t>
  </si>
  <si>
    <t>https://mmd.app/l/MMD-LOT-085</t>
  </si>
  <si>
    <t>MMD-LOT-086</t>
  </si>
  <si>
    <t>Lote 3x EXTENSOR DE P10 1.8M</t>
  </si>
  <si>
    <t>EXT P10</t>
  </si>
  <si>
    <t>https://mmd.app/l/MMD-LOT-086</t>
  </si>
  <si>
    <t>MMD-LOT-087</t>
  </si>
  <si>
    <t>Lote 5x EXTENSOR DE P10 3M</t>
  </si>
  <si>
    <t>https://mmd.app/l/MMD-LOT-087</t>
  </si>
  <si>
    <t>MMD-LOT-088</t>
  </si>
  <si>
    <t>Lote 2x EXTENSOR DE P10 5M</t>
  </si>
  <si>
    <t>https://mmd.app/l/MMD-LOT-088</t>
  </si>
  <si>
    <t>MMD-LOT-089</t>
  </si>
  <si>
    <t>Lote 7x EXTENSOR DE P2</t>
  </si>
  <si>
    <t>EXT P2</t>
  </si>
  <si>
    <t>https://mmd.app/l/MMD-LOT-089</t>
  </si>
  <si>
    <t>MMD-LOT-090</t>
  </si>
  <si>
    <t>Lote 1x EXTENSOR DE P2 1.5M</t>
  </si>
  <si>
    <t>https://mmd.app/l/MMD-LOT-090</t>
  </si>
  <si>
    <t>MMD-LOT-091</t>
  </si>
  <si>
    <t>Lote 1x EXTENSOR DE P2 50CM</t>
  </si>
  <si>
    <t>https://mmd.app/l/MMD-LOT-091</t>
  </si>
  <si>
    <t>MMD-LOT-092</t>
  </si>
  <si>
    <t>Lote 1x EXTENSOR DE USB A</t>
  </si>
  <si>
    <t>EXTENSOR USB A</t>
  </si>
  <si>
    <t>https://mmd.app/l/MMD-LOT-092</t>
  </si>
  <si>
    <t>MMD-LOT-093</t>
  </si>
  <si>
    <t>Lote 1x EXTENSOR USB 1M</t>
  </si>
  <si>
    <t>EXT USB</t>
  </si>
  <si>
    <t>https://mmd.app/l/MMD-LOT-093</t>
  </si>
  <si>
    <t>MMD-LOT-094</t>
  </si>
  <si>
    <t>Lote 4x P10 - P10F 10M</t>
  </si>
  <si>
    <t>P10EXT - P10F</t>
  </si>
  <si>
    <t>https://mmd.app/l/MMD-LOT-094</t>
  </si>
  <si>
    <t>MMD-LOT-095</t>
  </si>
  <si>
    <t>Lote 4x P10 - P10F 15M</t>
  </si>
  <si>
    <t>https://mmd.app/l/MMD-LOT-095</t>
  </si>
  <si>
    <t>MMD-LOT-096</t>
  </si>
  <si>
    <t>Lote 1x P10 - P10F 7M</t>
  </si>
  <si>
    <t>https://mmd.app/l/MMD-LOT-096</t>
  </si>
  <si>
    <t>MMD-LOT-097</t>
  </si>
  <si>
    <t>Lote 2x P10 10M</t>
  </si>
  <si>
    <t>P10</t>
  </si>
  <si>
    <t>https://mmd.app/l/MMD-LOT-097</t>
  </si>
  <si>
    <t>MMD-LOT-098</t>
  </si>
  <si>
    <t>Lote 1x P10 2M</t>
  </si>
  <si>
    <t>https://mmd.app/l/MMD-LOT-098</t>
  </si>
  <si>
    <t>MMD-LOT-099</t>
  </si>
  <si>
    <t>Lote 1x P10 3M</t>
  </si>
  <si>
    <t>https://mmd.app/l/MMD-LOT-099</t>
  </si>
  <si>
    <t>MMD-LOT-100</t>
  </si>
  <si>
    <t>Lote 1x P10 5.5M</t>
  </si>
  <si>
    <t>https://mmd.app/l/MMD-LOT-100</t>
  </si>
  <si>
    <t>MMD-LOT-101</t>
  </si>
  <si>
    <t>Lote 3x P10 6M</t>
  </si>
  <si>
    <t>https://mmd.app/l/MMD-LOT-101</t>
  </si>
  <si>
    <t>MMD-LOT-102</t>
  </si>
  <si>
    <t>Lote 2x P10 7M</t>
  </si>
  <si>
    <t>https://mmd.app/l/MMD-LOT-102</t>
  </si>
  <si>
    <t>MMD-LOT-103</t>
  </si>
  <si>
    <t>Lote 1x P10 9M</t>
  </si>
  <si>
    <t>https://mmd.app/l/MMD-LOT-103</t>
  </si>
  <si>
    <t>MMD-LOT-104</t>
  </si>
  <si>
    <t>Lote 1x P10 P10 1.8M</t>
  </si>
  <si>
    <t>https://mmd.app/l/MMD-LOT-104</t>
  </si>
  <si>
    <t>MMD-LOT-105</t>
  </si>
  <si>
    <t>Lote 1x P10 P10 10M</t>
  </si>
  <si>
    <t>https://mmd.app/l/MMD-LOT-105</t>
  </si>
  <si>
    <t>MMD-LOT-106</t>
  </si>
  <si>
    <t>Lote 1x P10 P10 5.5M</t>
  </si>
  <si>
    <t>https://mmd.app/l/MMD-LOT-106</t>
  </si>
  <si>
    <t>MMD-LOT-107</t>
  </si>
  <si>
    <t>Lote 2x P10 P10 6M</t>
  </si>
  <si>
    <t>https://mmd.app/l/MMD-LOT-107</t>
  </si>
  <si>
    <t>MMD-LOT-108</t>
  </si>
  <si>
    <t>Lote 2x P10 P10 7M</t>
  </si>
  <si>
    <t>https://mmd.app/l/MMD-LOT-108</t>
  </si>
  <si>
    <t>MMD-LOT-109</t>
  </si>
  <si>
    <t>Lote 1x P10 P10 9M</t>
  </si>
  <si>
    <t>https://mmd.app/l/MMD-LOT-109</t>
  </si>
  <si>
    <t>MMD-LOT-110</t>
  </si>
  <si>
    <t>Lote 1x P10 XLRF 2.9M</t>
  </si>
  <si>
    <t>P10 XLRF</t>
  </si>
  <si>
    <t>https://mmd.app/l/MMD-LOT-110</t>
  </si>
  <si>
    <t>MMD-LOT-111</t>
  </si>
  <si>
    <t>Lote 2x P10 XLRM 11M</t>
  </si>
  <si>
    <t>P10 XLRM</t>
  </si>
  <si>
    <t>https://mmd.app/l/MMD-LOT-111</t>
  </si>
  <si>
    <t>MMD-LOT-112</t>
  </si>
  <si>
    <t>Lote 1x P10 XLRM 5.8M</t>
  </si>
  <si>
    <t>https://mmd.app/l/MMD-LOT-112</t>
  </si>
  <si>
    <t>MMD-LOT-113</t>
  </si>
  <si>
    <t>Lote 2x P10 XLRM 5M</t>
  </si>
  <si>
    <t>https://mmd.app/l/MMD-LOT-113</t>
  </si>
  <si>
    <t>MMD-LOT-114</t>
  </si>
  <si>
    <t>Lote 86x POWERCON PIAL 1 METRO</t>
  </si>
  <si>
    <t>https://mmd.app/l/MMD-LOT-114</t>
  </si>
  <si>
    <t>MMD-LOT-115</t>
  </si>
  <si>
    <t>Lote 1x POWERCON PIAL 2 METROS</t>
  </si>
  <si>
    <t>https://mmd.app/l/MMD-LOT-115</t>
  </si>
  <si>
    <t>MMD-LOT-116</t>
  </si>
  <si>
    <t>Lote 1x POWERCON PIAL 7 METROS</t>
  </si>
  <si>
    <t>https://mmd.app/l/MMD-LOT-116</t>
  </si>
  <si>
    <t>MMD-LOT-117</t>
  </si>
  <si>
    <t>Lote 25x POWERCON POWERCON 1 METRO</t>
  </si>
  <si>
    <t>POWERCON POWERCON</t>
  </si>
  <si>
    <t>https://mmd.app/l/MMD-LOT-117</t>
  </si>
  <si>
    <t>MMD-LOT-118</t>
  </si>
  <si>
    <t>Lote 3x POWERCON POWERCON 1.3 METROS</t>
  </si>
  <si>
    <t>https://mmd.app/l/MMD-LOT-118</t>
  </si>
  <si>
    <t>MMD-LOT-119</t>
  </si>
  <si>
    <t>Lote 1x POWERCON POWERCON 1.5 METROS</t>
  </si>
  <si>
    <t>https://mmd.app/l/MMD-LOT-119</t>
  </si>
  <si>
    <t>MMD-LOT-120</t>
  </si>
  <si>
    <t>Lote 1x POWERCON POWERCON 1.7 METROS</t>
  </si>
  <si>
    <t>https://mmd.app/l/MMD-LOT-120</t>
  </si>
  <si>
    <t>MMD-LOT-121</t>
  </si>
  <si>
    <t>Lote 1x POWERCON POWERCON 1.8 METROS</t>
  </si>
  <si>
    <t>https://mmd.app/l/MMD-LOT-121</t>
  </si>
  <si>
    <t>MMD-LOT-122</t>
  </si>
  <si>
    <t>Lote 2x POWERCON POWERCON 50cm</t>
  </si>
  <si>
    <t>https://mmd.app/l/MMD-LOT-122</t>
  </si>
  <si>
    <t>MMD-LOT-123</t>
  </si>
  <si>
    <t>Lote 2x RCA P10 5M</t>
  </si>
  <si>
    <t>https://mmd.app/l/MMD-LOT-123</t>
  </si>
  <si>
    <t>MMD-LOT-124</t>
  </si>
  <si>
    <t>Lote 1x RCA RCA 1,0M</t>
  </si>
  <si>
    <t>RCA RCA</t>
  </si>
  <si>
    <t>https://mmd.app/l/MMD-LOT-124</t>
  </si>
  <si>
    <t>MMD-LOT-125</t>
  </si>
  <si>
    <t>Lote 2x RCA RCA 1,3M</t>
  </si>
  <si>
    <t>https://mmd.app/l/MMD-LOT-125</t>
  </si>
  <si>
    <t>MMD-LOT-126</t>
  </si>
  <si>
    <t>Lote 1x RCA RCA 12M</t>
  </si>
  <si>
    <t>https://mmd.app/l/MMD-LOT-126</t>
  </si>
  <si>
    <t>MMD-LOT-127</t>
  </si>
  <si>
    <t>Lote 1x USB A MICRO USB B 50</t>
  </si>
  <si>
    <t>USB A MICRO USB B</t>
  </si>
  <si>
    <t>https://mmd.app/l/MMD-LOT-127</t>
  </si>
  <si>
    <t>MMD-LOT-128</t>
  </si>
  <si>
    <t>Lote 1x USB A UCB C 1M</t>
  </si>
  <si>
    <t>USB USB</t>
  </si>
  <si>
    <t>https://mmd.app/l/MMD-LOT-128</t>
  </si>
  <si>
    <t>MMD-LOT-129</t>
  </si>
  <si>
    <t>Lote 1x USB A USB A</t>
  </si>
  <si>
    <t>USB A USB A</t>
  </si>
  <si>
    <t>https://mmd.app/l/MMD-LOT-129</t>
  </si>
  <si>
    <t>MMD-LOT-130</t>
  </si>
  <si>
    <t>Lote 1x USB CARREGADOR IPHONE 30PIN</t>
  </si>
  <si>
    <t>IPHONE 30 PIN</t>
  </si>
  <si>
    <t>https://mmd.app/l/MMD-LOT-130</t>
  </si>
  <si>
    <t>MMD-LOT-131</t>
  </si>
  <si>
    <t>Lote 1x XLR P10 10M</t>
  </si>
  <si>
    <t>XLR P10</t>
  </si>
  <si>
    <t>https://mmd.app/l/MMD-LOT-131</t>
  </si>
  <si>
    <t>MMD-LOT-132</t>
  </si>
  <si>
    <t>Lote 8x XLR P10 1M</t>
  </si>
  <si>
    <t>https://mmd.app/l/MMD-LOT-132</t>
  </si>
  <si>
    <t>MMD-LOT-133</t>
  </si>
  <si>
    <t>Lote 1x XLR P10 50CM</t>
  </si>
  <si>
    <t>https://mmd.app/l/MMD-LOT-133</t>
  </si>
  <si>
    <t>MMD-LOT-134</t>
  </si>
  <si>
    <t>Lote 2x XLR P10 5M</t>
  </si>
  <si>
    <t>https://mmd.app/l/MMD-LOT-134</t>
  </si>
  <si>
    <t>MMD-LOT-135</t>
  </si>
  <si>
    <t>Lote 2x XLR P10 70CM</t>
  </si>
  <si>
    <t>https://mmd.app/l/MMD-LOT-135</t>
  </si>
  <si>
    <t>MMD-LOT-136</t>
  </si>
  <si>
    <t>Lote 29x XLR XLR 1 METRO</t>
  </si>
  <si>
    <t>https://mmd.app/l/MMD-LOT-136</t>
  </si>
  <si>
    <t>MMD-LOT-137</t>
  </si>
  <si>
    <t>Lote 1x XLR XLR 1.4 METRO</t>
  </si>
  <si>
    <t>https://mmd.app/l/MMD-LOT-137</t>
  </si>
  <si>
    <t>MMD-LOT-138</t>
  </si>
  <si>
    <t>Lote 7x XLR XLR 2 METROS</t>
  </si>
  <si>
    <t>https://mmd.app/l/MMD-LOT-138</t>
  </si>
  <si>
    <t>MMD-LOT-139</t>
  </si>
  <si>
    <t>Lote 5x XLR XLR 20CM</t>
  </si>
  <si>
    <t>https://mmd.app/l/MMD-LOT-139</t>
  </si>
  <si>
    <t>MMD-LOT-140</t>
  </si>
  <si>
    <t>Lote 13x XLR XLR 3 METROS</t>
  </si>
  <si>
    <t>https://mmd.app/l/MMD-LOT-140</t>
  </si>
  <si>
    <t>MMD-LOT-141</t>
  </si>
  <si>
    <t>Lote 1x XLR XLR 35CM</t>
  </si>
  <si>
    <t>https://mmd.app/l/MMD-LOT-141</t>
  </si>
  <si>
    <t>MMD-LOT-142</t>
  </si>
  <si>
    <t>Lote 3x XLR XLR 4 METROS</t>
  </si>
  <si>
    <t>https://mmd.app/l/MMD-LOT-142</t>
  </si>
  <si>
    <t>MMD-LOT-143</t>
  </si>
  <si>
    <t>Lote 7x XLR XLR 10M</t>
  </si>
  <si>
    <t>https://mmd.app/l/MMD-LOT-143</t>
  </si>
  <si>
    <t>MMD-LOT-144</t>
  </si>
  <si>
    <t>Lote 1x XLR XLR 30M</t>
  </si>
  <si>
    <t>https://mmd.app/l/MMD-LOT-144</t>
  </si>
  <si>
    <t>MMD-LOT-145</t>
  </si>
  <si>
    <t>Lote 14x XLR XLR 5M</t>
  </si>
  <si>
    <t>https://mmd.app/l/MMD-LOT-145</t>
  </si>
  <si>
    <t>MMD-LOT-146</t>
  </si>
  <si>
    <t>Lote 4x XLR XLR 6M</t>
  </si>
  <si>
    <t>https://mmd.app/l/MMD-LOT-146</t>
  </si>
  <si>
    <t>MMD-LOT-147</t>
  </si>
  <si>
    <t>Lote 1x XLR XLR 7M</t>
  </si>
  <si>
    <t>https://mmd.app/l/MMD-LOT-147</t>
  </si>
  <si>
    <t>MMD-LOT-148</t>
  </si>
  <si>
    <t>Lote 3x XLR XLR 8M</t>
  </si>
  <si>
    <t>https://mmd.app/l/MMD-LOT-148</t>
  </si>
  <si>
    <t>MMD-LOT-149</t>
  </si>
  <si>
    <t>Lote 4x XLR XLR 9M</t>
  </si>
  <si>
    <t>https://mmd.app/l/MMD-LOT-149</t>
  </si>
  <si>
    <t>MMD-LOT-150</t>
  </si>
  <si>
    <t>Lote 2x XLRm USC C 3M</t>
  </si>
  <si>
    <t>XLRM USB C</t>
  </si>
  <si>
    <t>https://mmd.app/l/MMD-LOT-150</t>
  </si>
  <si>
    <t>MMD-LOT-151</t>
  </si>
  <si>
    <t>Lote 1x Apple USB CARREGADOR IPHONE 30PIN</t>
  </si>
  <si>
    <t>https://mmd.app/l/MMD-LOT-151</t>
  </si>
  <si>
    <t>MMD-LOT-152</t>
  </si>
  <si>
    <t>Lote 1x Hayonik Hayonik</t>
  </si>
  <si>
    <t>EXTENSOR</t>
  </si>
  <si>
    <t>https://mmd.app/l/MMD-LOT-152</t>
  </si>
  <si>
    <t>Motivo</t>
  </si>
  <si>
    <t>8 itens   |   Valor: R$ 24.090,78   |   Desgaste medio: 2,6/5</t>
  </si>
  <si>
    <t>LI2400 LEACS</t>
  </si>
  <si>
    <t>280893</t>
  </si>
  <si>
    <t>EMPRESTADO</t>
  </si>
  <si>
    <t>Emprestado - Seu Bigode</t>
  </si>
  <si>
    <t>MMD-AUD-0034</t>
  </si>
  <si>
    <t>GAB531183</t>
  </si>
  <si>
    <t>VENDIDO</t>
  </si>
  <si>
    <t>Vendida para ALT BAR</t>
  </si>
  <si>
    <t>MMD-AUD-0035</t>
  </si>
  <si>
    <t>CA-1000</t>
  </si>
  <si>
    <t>Mark Audio</t>
  </si>
  <si>
    <t>MMD-AUD-0037</t>
  </si>
  <si>
    <t>MMD-AUD-0048</t>
  </si>
  <si>
    <t>SUPER-X PRO MODEL CX3400</t>
  </si>
  <si>
    <t>CROSSOVER</t>
  </si>
  <si>
    <t>N1003860100</t>
  </si>
  <si>
    <t>Serial Fab.: DATE CODE 1005</t>
  </si>
  <si>
    <t>MMD-AUD-0100</t>
  </si>
  <si>
    <t>PHENIX PRO PTU-7000 RECEIVER</t>
  </si>
  <si>
    <t>XFYU730515</t>
  </si>
  <si>
    <t>Vendido</t>
  </si>
  <si>
    <t>MMD-AUD-0131</t>
  </si>
  <si>
    <t>15'' - PASSIVE</t>
  </si>
  <si>
    <t>14377</t>
  </si>
  <si>
    <t>Serial Fab.: ZERO</t>
  </si>
  <si>
    <t>MMD-AUD-0132</t>
  </si>
  <si>
    <t>SWA1501</t>
  </si>
  <si>
    <t>(21)EX14729</t>
  </si>
  <si>
    <t>MMD-EFE-0014</t>
  </si>
  <si>
    <t>Globo espelhado com motor</t>
  </si>
  <si>
    <t>GLOBO</t>
  </si>
  <si>
    <t>BAIXA</t>
  </si>
  <si>
    <t>Quebrado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</si>
</sst>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R$ #,##0.00"/>
    <numFmt numFmtId="165" formatCode="0.0%"/>
    <numFmt numFmtId="166" formatCode="R$ #,##0"/>
  </numFmts>
  <fonts count="83">
    <font>
      <sz val="11.0"/>
      <color theme="1"/>
      <name val="Calibri"/>
      <scheme val="minor"/>
    </font>
    <font>
      <b/>
      <sz val="24.0"/>
      <color rgb="FF4F46E5"/>
      <name val="Arial"/>
    </font>
    <font>
      <b/>
      <sz val="12.0"/>
      <color rgb="FF475569"/>
      <name val="Arial"/>
    </font>
    <font>
      <sz val="9.0"/>
      <color rgb="FFCBD5E1"/>
      <name val="Arial"/>
    </font>
    <font>
      <b/>
      <sz val="14.0"/>
      <color rgb="FFF8FAFC"/>
      <name val="Arial"/>
    </font>
    <font/>
    <font>
      <sz val="10.0"/>
      <color rgb="FF334155"/>
      <name val="Arial"/>
    </font>
    <font>
      <b/>
      <sz val="11.0"/>
      <color rgb="FF14532D"/>
      <name val="Arial"/>
    </font>
    <font>
      <b/>
      <sz val="11.0"/>
      <color rgb="FF78350F"/>
      <name val="Arial"/>
    </font>
    <font>
      <b/>
      <sz val="11.0"/>
      <color rgb="FF1E3A8A"/>
      <name val="Arial"/>
    </font>
    <font>
      <b/>
      <sz val="11.0"/>
      <color rgb="FF7F1D1D"/>
      <name val="Arial"/>
    </font>
    <font>
      <b/>
      <sz val="11.0"/>
      <color rgb="FF4C1D95"/>
      <name val="Arial"/>
    </font>
    <font>
      <b/>
      <sz val="11.0"/>
      <color rgb="FF475569"/>
      <name val="Arial"/>
    </font>
    <font>
      <b/>
      <sz val="11.0"/>
      <color rgb="FF7C2D12"/>
      <name val="Arial"/>
    </font>
    <font>
      <b/>
      <sz val="11.0"/>
      <color rgb="FF0F172A"/>
      <name val="Arial"/>
    </font>
    <font>
      <b/>
      <sz val="10.0"/>
      <color rgb="FF334155"/>
      <name val="Arial"/>
    </font>
    <font>
      <sz val="10.0"/>
      <color rgb="FF475569"/>
      <name val="Arial"/>
    </font>
    <font>
      <b/>
      <sz val="10.0"/>
      <color rgb="FF4F46E5"/>
      <name val="Arial"/>
    </font>
    <font>
      <b/>
      <sz val="11.0"/>
      <color rgb="FF4338CA"/>
      <name val="Arial"/>
    </font>
    <font>
      <b/>
      <sz val="11.0"/>
      <color rgb="FF047857"/>
      <name val="Arial"/>
    </font>
    <font>
      <b/>
      <sz val="11.0"/>
      <color rgb="FF92400E"/>
      <name val="Arial"/>
    </font>
    <font>
      <b/>
      <sz val="11.0"/>
      <color rgb="FFB91C1C"/>
      <name val="Arial"/>
    </font>
    <font>
      <b/>
      <sz val="11.0"/>
      <color rgb="FF1D4ED8"/>
      <name val="Arial"/>
    </font>
    <font>
      <b/>
      <sz val="11.0"/>
      <color rgb="FF6D28D9"/>
      <name val="Arial"/>
    </font>
    <font>
      <b/>
      <sz val="11.0"/>
      <color rgb="FF0F766E"/>
      <name val="Arial"/>
    </font>
    <font>
      <b/>
      <sz val="11.0"/>
      <color rgb="FFC2410C"/>
      <name val="Arial"/>
    </font>
    <font>
      <sz val="8.0"/>
      <color rgb="FFCBD5E1"/>
      <name val="Arial"/>
    </font>
    <font>
      <b/>
      <sz val="22.0"/>
      <color rgb="FF0F172A"/>
      <name val="Arial"/>
    </font>
    <font>
      <sz val="10.0"/>
      <color rgb="FFCBD5E1"/>
      <name val="Arial"/>
    </font>
    <font>
      <b/>
      <sz val="18.0"/>
      <color rgb="FF4F46E5"/>
      <name val="Arial"/>
    </font>
    <font>
      <b/>
      <sz val="18.0"/>
      <color rgb="FF16A34A"/>
      <name val="Arial"/>
    </font>
    <font>
      <b/>
      <sz val="18.0"/>
      <color rgb="FFCA8A04"/>
      <name val="Arial"/>
    </font>
    <font>
      <b/>
      <sz val="8.0"/>
      <color rgb="FF475569"/>
      <name val="Arial"/>
    </font>
    <font>
      <sz val="11.0"/>
      <color theme="1"/>
      <name val="Calibri"/>
    </font>
    <font>
      <b/>
      <sz val="18.0"/>
      <color rgb="FFDC2626"/>
      <name val="Arial"/>
    </font>
    <font>
      <b/>
      <sz val="9.0"/>
      <color rgb="FFCBD5E1"/>
      <name val="Arial"/>
    </font>
    <font>
      <b/>
      <sz val="14.0"/>
      <color rgb="FF4F46E5"/>
      <name val="Arial"/>
    </font>
    <font>
      <b/>
      <sz val="14.0"/>
      <color rgb="FFDC2626"/>
      <name val="Arial"/>
    </font>
    <font>
      <b/>
      <sz val="14.0"/>
      <color rgb="FFCA8A04"/>
      <name val="Arial"/>
    </font>
    <font>
      <b/>
      <sz val="14.0"/>
      <color rgb="FFF59E0B"/>
      <name val="Arial"/>
    </font>
    <font>
      <b/>
      <sz val="8.0"/>
      <color rgb="FFCBD5E1"/>
      <name val="Arial"/>
    </font>
    <font>
      <b/>
      <sz val="9.0"/>
      <color rgb="FFF8FAFC"/>
      <name val="Arial"/>
    </font>
    <font>
      <b/>
      <sz val="10.0"/>
      <color rgb="FF4338CA"/>
      <name val="Arial"/>
    </font>
    <font>
      <b/>
      <sz val="10.0"/>
      <color rgb="FF166534"/>
      <name val="Arial"/>
    </font>
    <font>
      <color theme="1"/>
      <name val="Calibri"/>
      <scheme val="minor"/>
    </font>
    <font>
      <b/>
      <sz val="10.0"/>
      <color rgb="FF047857"/>
      <name val="Arial"/>
    </font>
    <font>
      <b/>
      <sz val="10.0"/>
      <color rgb="FF92400E"/>
      <name val="Arial"/>
    </font>
    <font>
      <b/>
      <sz val="10.0"/>
      <color rgb="FFB91C1C"/>
      <name val="Arial"/>
    </font>
    <font>
      <b/>
      <sz val="10.0"/>
      <color rgb="FF1D4ED8"/>
      <name val="Arial"/>
    </font>
    <font>
      <b/>
      <sz val="10.0"/>
      <color rgb="FF6D28D9"/>
      <name val="Arial"/>
    </font>
    <font>
      <b/>
      <sz val="10.0"/>
      <color rgb="FF0F766E"/>
      <name val="Arial"/>
    </font>
    <font>
      <b/>
      <sz val="10.0"/>
      <color rgb="FFC2410C"/>
      <name val="Arial"/>
    </font>
    <font>
      <b/>
      <sz val="10.0"/>
      <color rgb="FF14532D"/>
      <name val="Arial"/>
    </font>
    <font>
      <b/>
      <sz val="10.0"/>
      <color rgb="FF78350F"/>
      <name val="Arial"/>
    </font>
    <font>
      <b/>
      <sz val="10.0"/>
      <color rgb="FF1E3A8A"/>
      <name val="Arial"/>
    </font>
    <font>
      <b/>
      <sz val="10.0"/>
      <color rgb="FF7F1D1D"/>
      <name val="Arial"/>
    </font>
    <font>
      <sz val="9.0"/>
      <color rgb="FF047857"/>
      <name val="Arial"/>
    </font>
    <font>
      <b/>
      <sz val="10.0"/>
      <color rgb="FF0F172A"/>
      <name val="Arial"/>
    </font>
    <font>
      <b/>
      <sz val="10.0"/>
      <color rgb="FF16A34A"/>
      <name val="Arial"/>
    </font>
    <font>
      <sz val="10.0"/>
      <color rgb="FFCA8A04"/>
      <name val="Arial"/>
    </font>
    <font>
      <b/>
      <sz val="14.0"/>
      <color rgb="FF4338CA"/>
      <name val="Arial"/>
    </font>
    <font>
      <b/>
      <sz val="10.0"/>
      <color rgb="FFF8FAFC"/>
      <name val="Arial"/>
    </font>
    <font>
      <b/>
      <u/>
      <sz val="10.0"/>
      <color rgb="FF4338CA"/>
      <name val="Arial"/>
    </font>
    <font>
      <b/>
      <u/>
      <sz val="10.0"/>
      <color rgb="FF4338CA"/>
      <name val="Arial"/>
    </font>
    <font>
      <b/>
      <sz val="14.0"/>
      <color rgb="FF047857"/>
      <name val="Arial"/>
    </font>
    <font>
      <b/>
      <u/>
      <sz val="10.0"/>
      <color rgb="FF047857"/>
      <name val="Arial"/>
    </font>
    <font>
      <b/>
      <u/>
      <sz val="10.0"/>
      <color rgb="FF047857"/>
      <name val="Arial"/>
    </font>
    <font>
      <b/>
      <sz val="14.0"/>
      <color rgb="FFB91C1C"/>
      <name val="Arial"/>
    </font>
    <font>
      <b/>
      <u/>
      <sz val="10.0"/>
      <color rgb="FFB91C1C"/>
      <name val="Arial"/>
    </font>
    <font>
      <b/>
      <u/>
      <sz val="10.0"/>
      <color rgb="FFB91C1C"/>
      <name val="Arial"/>
    </font>
    <font>
      <b/>
      <sz val="14.0"/>
      <color rgb="FF1D4ED8"/>
      <name val="Arial"/>
    </font>
    <font>
      <b/>
      <u/>
      <sz val="10.0"/>
      <color rgb="FF1D4ED8"/>
      <name val="Arial"/>
    </font>
    <font>
      <b/>
      <u/>
      <sz val="10.0"/>
      <color rgb="FF1D4ED8"/>
      <name val="Arial"/>
    </font>
    <font>
      <b/>
      <sz val="14.0"/>
      <color rgb="FF6D28D9"/>
      <name val="Arial"/>
    </font>
    <font>
      <b/>
      <u/>
      <sz val="10.0"/>
      <color rgb="FF6D28D9"/>
      <name val="Arial"/>
    </font>
    <font>
      <b/>
      <u/>
      <sz val="10.0"/>
      <color rgb="FF6D28D9"/>
      <name val="Arial"/>
    </font>
    <font>
      <b/>
      <sz val="14.0"/>
      <color rgb="FF0F766E"/>
      <name val="Arial"/>
    </font>
    <font>
      <b/>
      <u/>
      <sz val="10.0"/>
      <color rgb="FF0F766E"/>
      <name val="Arial"/>
    </font>
    <font>
      <b/>
      <u/>
      <sz val="10.0"/>
      <color rgb="FF0F766E"/>
      <name val="Arial"/>
    </font>
    <font>
      <b/>
      <sz val="14.0"/>
      <color rgb="FFC2410C"/>
      <name val="Arial"/>
    </font>
    <font>
      <b/>
      <u/>
      <sz val="10.0"/>
      <color rgb="FFC2410C"/>
      <name val="Arial"/>
    </font>
    <font>
      <b/>
      <u/>
      <sz val="10.0"/>
      <color rgb="FFC2410C"/>
      <name val="Arial"/>
    </font>
    <font>
      <b/>
      <sz val="10.0"/>
      <color rgb="FF64748B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1E293B"/>
        <bgColor rgb="FF1E293B"/>
      </patternFill>
    </fill>
    <fill>
      <patternFill patternType="solid">
        <fgColor rgb="FFBBF7D0"/>
        <bgColor rgb="FFBBF7D0"/>
      </patternFill>
    </fill>
    <fill>
      <patternFill patternType="solid">
        <fgColor rgb="FFFDE68A"/>
        <bgColor rgb="FFFDE68A"/>
      </patternFill>
    </fill>
    <fill>
      <patternFill patternType="solid">
        <fgColor rgb="FFBFDBFE"/>
        <bgColor rgb="FFBFDBFE"/>
      </patternFill>
    </fill>
    <fill>
      <patternFill patternType="solid">
        <fgColor rgb="FFFECACA"/>
        <bgColor rgb="FFFECACA"/>
      </patternFill>
    </fill>
    <fill>
      <patternFill patternType="solid">
        <fgColor rgb="FFDDD6FE"/>
        <bgColor rgb="FFDDD6FE"/>
      </patternFill>
    </fill>
    <fill>
      <patternFill patternType="solid">
        <fgColor rgb="FFE2E8F0"/>
        <bgColor rgb="FFE2E8F0"/>
      </patternFill>
    </fill>
    <fill>
      <patternFill patternType="solid">
        <fgColor rgb="FFFED7AA"/>
        <bgColor rgb="FFFED7AA"/>
      </patternFill>
    </fill>
    <fill>
      <patternFill patternType="solid">
        <fgColor rgb="FF86EFAC"/>
        <bgColor rgb="FF86EFAC"/>
      </patternFill>
    </fill>
    <fill>
      <patternFill patternType="solid">
        <fgColor rgb="FF93C5FD"/>
        <bgColor rgb="FF93C5FD"/>
      </patternFill>
    </fill>
    <fill>
      <patternFill patternType="solid">
        <fgColor rgb="FFFDE047"/>
        <bgColor rgb="FFFDE047"/>
      </patternFill>
    </fill>
    <fill>
      <patternFill patternType="solid">
        <fgColor rgb="FFFDBA74"/>
        <bgColor rgb="FFFDBA74"/>
      </patternFill>
    </fill>
    <fill>
      <patternFill patternType="solid">
        <fgColor rgb="FFFCA5A5"/>
        <bgColor rgb="FFFCA5A5"/>
      </patternFill>
    </fill>
    <fill>
      <patternFill patternType="solid">
        <fgColor rgb="FF4F46E5"/>
        <bgColor rgb="FF4F46E5"/>
      </patternFill>
    </fill>
    <fill>
      <patternFill patternType="solid">
        <fgColor rgb="FFEEF2FF"/>
        <bgColor rgb="FFEEF2FF"/>
      </patternFill>
    </fill>
    <fill>
      <patternFill patternType="solid">
        <fgColor rgb="FFECFDF5"/>
        <bgColor rgb="FFECFDF5"/>
      </patternFill>
    </fill>
    <fill>
      <patternFill patternType="solid">
        <fgColor rgb="FFFFFBEB"/>
        <bgColor rgb="FFFFFBEB"/>
      </patternFill>
    </fill>
    <fill>
      <patternFill patternType="solid">
        <fgColor rgb="FFFEF2F2"/>
        <bgColor rgb="FFFEF2F2"/>
      </patternFill>
    </fill>
    <fill>
      <patternFill patternType="solid">
        <fgColor rgb="FFEFF6FF"/>
        <bgColor rgb="FFEFF6FF"/>
      </patternFill>
    </fill>
    <fill>
      <patternFill patternType="solid">
        <fgColor rgb="FFF5F3FF"/>
        <bgColor rgb="FFF5F3FF"/>
      </patternFill>
    </fill>
    <fill>
      <patternFill patternType="solid">
        <fgColor rgb="FFF0FDFA"/>
        <bgColor rgb="FFF0FDFA"/>
      </patternFill>
    </fill>
    <fill>
      <patternFill patternType="solid">
        <fgColor rgb="FFFFF7ED"/>
        <bgColor rgb="FFFFF7ED"/>
      </patternFill>
    </fill>
    <fill>
      <patternFill patternType="solid">
        <fgColor rgb="FFE0E7FF"/>
        <bgColor rgb="FFE0E7FF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DCFCE7"/>
        <bgColor rgb="FFDCFCE7"/>
      </patternFill>
    </fill>
  </fills>
  <borders count="12">
    <border/>
    <border>
      <left/>
      <top/>
      <bottom/>
    </border>
    <border>
      <right/>
      <top/>
      <bottom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7D2FE"/>
      </left>
      <top style="thin">
        <color rgb="FFC7D2FE"/>
      </top>
      <bottom style="thin">
        <color rgb="FFC7D2FE"/>
      </bottom>
    </border>
    <border>
      <right style="thin">
        <color rgb="FFC7D2FE"/>
      </right>
      <top style="thin">
        <color rgb="FFC7D2FE"/>
      </top>
      <bottom style="thin">
        <color rgb="FFC7D2FE"/>
      </bottom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</border>
    <border>
      <left style="thin">
        <color rgb="FF0F172A"/>
      </left>
      <right style="thin">
        <color rgb="FF0F172A"/>
      </right>
      <top style="thin">
        <color rgb="FF0F172A"/>
      </top>
      <bottom style="thin">
        <color rgb="FF0F172A"/>
      </bottom>
    </border>
    <border>
      <top/>
      <bottom/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1" fillId="2" fontId="4" numFmtId="0" xfId="0" applyAlignment="1" applyBorder="1" applyFill="1" applyFont="1">
      <alignment vertical="center"/>
    </xf>
    <xf borderId="2" fillId="0" fontId="5" numFmtId="0" xfId="0" applyBorder="1" applyFont="1"/>
    <xf borderId="0" fillId="0" fontId="6" numFmtId="0" xfId="0" applyAlignment="1" applyFont="1">
      <alignment vertical="center"/>
    </xf>
    <xf borderId="1" fillId="3" fontId="4" numFmtId="0" xfId="0" applyAlignment="1" applyBorder="1" applyFill="1" applyFont="1">
      <alignment vertical="center"/>
    </xf>
    <xf borderId="3" fillId="4" fontId="7" numFmtId="0" xfId="0" applyAlignment="1" applyBorder="1" applyFill="1" applyFont="1">
      <alignment vertical="center"/>
    </xf>
    <xf borderId="3" fillId="5" fontId="8" numFmtId="0" xfId="0" applyAlignment="1" applyBorder="1" applyFill="1" applyFont="1">
      <alignment vertical="center"/>
    </xf>
    <xf borderId="3" fillId="6" fontId="9" numFmtId="0" xfId="0" applyAlignment="1" applyBorder="1" applyFill="1" applyFont="1">
      <alignment vertical="center"/>
    </xf>
    <xf borderId="3" fillId="7" fontId="10" numFmtId="0" xfId="0" applyAlignment="1" applyBorder="1" applyFill="1" applyFont="1">
      <alignment vertical="center"/>
    </xf>
    <xf borderId="3" fillId="8" fontId="11" numFmtId="0" xfId="0" applyAlignment="1" applyBorder="1" applyFill="1" applyFont="1">
      <alignment vertical="center"/>
    </xf>
    <xf borderId="3" fillId="9" fontId="12" numFmtId="0" xfId="0" applyAlignment="1" applyBorder="1" applyFill="1" applyFont="1">
      <alignment vertical="center"/>
    </xf>
    <xf borderId="3" fillId="10" fontId="13" numFmtId="0" xfId="0" applyAlignment="1" applyBorder="1" applyFill="1" applyFont="1">
      <alignment vertical="center"/>
    </xf>
    <xf borderId="3" fillId="11" fontId="14" numFmtId="0" xfId="0" applyAlignment="1" applyBorder="1" applyFill="1" applyFont="1">
      <alignment vertical="center"/>
    </xf>
    <xf borderId="3" fillId="12" fontId="14" numFmtId="0" xfId="0" applyAlignment="1" applyBorder="1" applyFill="1" applyFont="1">
      <alignment vertical="center"/>
    </xf>
    <xf borderId="3" fillId="13" fontId="14" numFmtId="0" xfId="0" applyAlignment="1" applyBorder="1" applyFill="1" applyFont="1">
      <alignment vertical="center"/>
    </xf>
    <xf borderId="3" fillId="14" fontId="14" numFmtId="0" xfId="0" applyAlignment="1" applyBorder="1" applyFill="1" applyFont="1">
      <alignment vertical="center"/>
    </xf>
    <xf borderId="3" fillId="15" fontId="14" numFmtId="0" xfId="0" applyAlignment="1" applyBorder="1" applyFill="1" applyFont="1">
      <alignment vertical="center"/>
    </xf>
    <xf borderId="1" fillId="16" fontId="4" numFmtId="0" xfId="0" applyAlignment="1" applyBorder="1" applyFill="1" applyFont="1">
      <alignment vertical="center"/>
    </xf>
    <xf borderId="0" fillId="0" fontId="15" numFmtId="0" xfId="0" applyAlignment="1" applyFont="1">
      <alignment vertical="center"/>
    </xf>
    <xf borderId="0" fillId="0" fontId="16" numFmtId="0" xfId="0" applyAlignment="1" applyFont="1">
      <alignment vertical="center"/>
    </xf>
    <xf borderId="0" fillId="0" fontId="17" numFmtId="0" xfId="0" applyAlignment="1" applyFont="1">
      <alignment vertical="center"/>
    </xf>
    <xf borderId="3" fillId="17" fontId="18" numFmtId="0" xfId="0" applyAlignment="1" applyBorder="1" applyFill="1" applyFont="1">
      <alignment vertical="center"/>
    </xf>
    <xf borderId="3" fillId="18" fontId="19" numFmtId="0" xfId="0" applyAlignment="1" applyBorder="1" applyFill="1" applyFont="1">
      <alignment vertical="center"/>
    </xf>
    <xf borderId="3" fillId="19" fontId="20" numFmtId="0" xfId="0" applyAlignment="1" applyBorder="1" applyFill="1" applyFont="1">
      <alignment vertical="center"/>
    </xf>
    <xf borderId="3" fillId="20" fontId="21" numFmtId="0" xfId="0" applyAlignment="1" applyBorder="1" applyFill="1" applyFont="1">
      <alignment vertical="center"/>
    </xf>
    <xf borderId="3" fillId="21" fontId="22" numFmtId="0" xfId="0" applyAlignment="1" applyBorder="1" applyFill="1" applyFont="1">
      <alignment vertical="center"/>
    </xf>
    <xf borderId="3" fillId="22" fontId="23" numFmtId="0" xfId="0" applyAlignment="1" applyBorder="1" applyFill="1" applyFont="1">
      <alignment vertical="center"/>
    </xf>
    <xf borderId="3" fillId="23" fontId="24" numFmtId="0" xfId="0" applyAlignment="1" applyBorder="1" applyFill="1" applyFont="1">
      <alignment vertical="center"/>
    </xf>
    <xf borderId="3" fillId="24" fontId="25" numFmtId="0" xfId="0" applyAlignment="1" applyBorder="1" applyFill="1" applyFont="1">
      <alignment vertical="center"/>
    </xf>
    <xf borderId="0" fillId="0" fontId="26" numFmtId="0" xfId="0" applyAlignment="1" applyFont="1">
      <alignment horizontal="center"/>
    </xf>
    <xf borderId="0" fillId="0" fontId="27" numFmtId="0" xfId="0" applyFont="1"/>
    <xf borderId="0" fillId="0" fontId="28" numFmtId="0" xfId="0" applyFont="1"/>
    <xf borderId="4" fillId="25" fontId="29" numFmtId="3" xfId="0" applyAlignment="1" applyBorder="1" applyFill="1" applyFont="1" applyNumberFormat="1">
      <alignment horizontal="center" vertical="center"/>
    </xf>
    <xf borderId="5" fillId="0" fontId="5" numFmtId="0" xfId="0" applyBorder="1" applyFont="1"/>
    <xf borderId="4" fillId="25" fontId="30" numFmtId="3" xfId="0" applyAlignment="1" applyBorder="1" applyFont="1" applyNumberFormat="1">
      <alignment horizontal="center" vertical="center"/>
    </xf>
    <xf borderId="4" fillId="25" fontId="31" numFmtId="3" xfId="0" applyAlignment="1" applyBorder="1" applyFont="1" applyNumberFormat="1">
      <alignment horizontal="center" vertical="center"/>
    </xf>
    <xf borderId="4" fillId="25" fontId="32" numFmtId="0" xfId="0" applyAlignment="1" applyBorder="1" applyFont="1">
      <alignment horizontal="center" vertical="center"/>
    </xf>
    <xf borderId="6" fillId="25" fontId="33" numFmtId="0" xfId="0" applyBorder="1" applyFont="1"/>
    <xf borderId="4" fillId="25" fontId="34" numFmtId="3" xfId="0" applyAlignment="1" applyBorder="1" applyFont="1" applyNumberFormat="1">
      <alignment horizontal="center" vertical="center"/>
    </xf>
    <xf borderId="4" fillId="25" fontId="29" numFmtId="164" xfId="0" applyAlignment="1" applyBorder="1" applyFont="1" applyNumberFormat="1">
      <alignment horizontal="center" vertical="center"/>
    </xf>
    <xf borderId="4" fillId="25" fontId="30" numFmtId="164" xfId="0" applyAlignment="1" applyBorder="1" applyFont="1" applyNumberFormat="1">
      <alignment horizontal="center" vertical="center"/>
    </xf>
    <xf borderId="0" fillId="0" fontId="35" numFmtId="0" xfId="0" applyFont="1"/>
    <xf borderId="0" fillId="0" fontId="36" numFmtId="0" xfId="0" applyAlignment="1" applyFont="1">
      <alignment horizontal="center"/>
    </xf>
    <xf borderId="0" fillId="0" fontId="37" numFmtId="0" xfId="0" applyAlignment="1" applyFont="1">
      <alignment horizontal="center"/>
    </xf>
    <xf borderId="0" fillId="0" fontId="38" numFmtId="0" xfId="0" applyAlignment="1" applyFont="1">
      <alignment horizontal="center"/>
    </xf>
    <xf borderId="0" fillId="0" fontId="39" numFmtId="0" xfId="0" applyAlignment="1" applyFont="1">
      <alignment horizontal="center"/>
    </xf>
    <xf borderId="0" fillId="0" fontId="40" numFmtId="0" xfId="0" applyAlignment="1" applyFont="1">
      <alignment horizontal="center"/>
    </xf>
    <xf borderId="7" fillId="2" fontId="41" numFmtId="0" xfId="0" applyAlignment="1" applyBorder="1" applyFont="1">
      <alignment horizontal="center" vertical="center"/>
    </xf>
    <xf borderId="3" fillId="26" fontId="6" numFmtId="0" xfId="0" applyAlignment="1" applyBorder="1" applyFill="1" applyFont="1">
      <alignment vertical="center"/>
    </xf>
    <xf borderId="3" fillId="26" fontId="42" numFmtId="0" xfId="0" applyAlignment="1" applyBorder="1" applyFont="1">
      <alignment vertical="center"/>
    </xf>
    <xf borderId="3" fillId="26" fontId="6" numFmtId="164" xfId="0" applyAlignment="1" applyBorder="1" applyFont="1" applyNumberFormat="1">
      <alignment vertical="center"/>
    </xf>
    <xf borderId="3" fillId="26" fontId="43" numFmtId="164" xfId="0" applyAlignment="1" applyBorder="1" applyFont="1" applyNumberFormat="1">
      <alignment vertical="center"/>
    </xf>
    <xf borderId="3" fillId="26" fontId="6" numFmtId="165" xfId="0" applyAlignment="1" applyBorder="1" applyFont="1" applyNumberFormat="1">
      <alignment vertical="center"/>
    </xf>
    <xf borderId="0" fillId="0" fontId="44" numFmtId="0" xfId="0" applyFont="1"/>
    <xf borderId="3" fillId="27" fontId="6" numFmtId="0" xfId="0" applyAlignment="1" applyBorder="1" applyFill="1" applyFont="1">
      <alignment vertical="center"/>
    </xf>
    <xf borderId="3" fillId="27" fontId="45" numFmtId="0" xfId="0" applyAlignment="1" applyBorder="1" applyFont="1">
      <alignment vertical="center"/>
    </xf>
    <xf borderId="3" fillId="27" fontId="6" numFmtId="164" xfId="0" applyAlignment="1" applyBorder="1" applyFont="1" applyNumberFormat="1">
      <alignment vertical="center"/>
    </xf>
    <xf borderId="3" fillId="27" fontId="43" numFmtId="164" xfId="0" applyAlignment="1" applyBorder="1" applyFont="1" applyNumberFormat="1">
      <alignment vertical="center"/>
    </xf>
    <xf borderId="3" fillId="27" fontId="6" numFmtId="165" xfId="0" applyAlignment="1" applyBorder="1" applyFont="1" applyNumberFormat="1">
      <alignment vertical="center"/>
    </xf>
    <xf borderId="3" fillId="26" fontId="46" numFmtId="0" xfId="0" applyAlignment="1" applyBorder="1" applyFont="1">
      <alignment vertical="center"/>
    </xf>
    <xf borderId="3" fillId="27" fontId="47" numFmtId="0" xfId="0" applyAlignment="1" applyBorder="1" applyFont="1">
      <alignment vertical="center"/>
    </xf>
    <xf borderId="3" fillId="26" fontId="48" numFmtId="0" xfId="0" applyAlignment="1" applyBorder="1" applyFont="1">
      <alignment vertical="center"/>
    </xf>
    <xf borderId="3" fillId="27" fontId="49" numFmtId="0" xfId="0" applyAlignment="1" applyBorder="1" applyFont="1">
      <alignment vertical="center"/>
    </xf>
    <xf borderId="3" fillId="26" fontId="50" numFmtId="0" xfId="0" applyAlignment="1" applyBorder="1" applyFont="1">
      <alignment vertical="center"/>
    </xf>
    <xf borderId="3" fillId="27" fontId="51" numFmtId="0" xfId="0" applyAlignment="1" applyBorder="1" applyFont="1">
      <alignment vertical="center"/>
    </xf>
    <xf borderId="3" fillId="4" fontId="52" numFmtId="0" xfId="0" applyBorder="1" applyFont="1"/>
    <xf borderId="3" fillId="0" fontId="6" numFmtId="0" xfId="0" applyAlignment="1" applyBorder="1" applyFont="1">
      <alignment horizontal="center"/>
    </xf>
    <xf borderId="3" fillId="0" fontId="6" numFmtId="165" xfId="0" applyAlignment="1" applyBorder="1" applyFont="1" applyNumberFormat="1">
      <alignment horizontal="center"/>
    </xf>
    <xf borderId="3" fillId="5" fontId="53" numFmtId="0" xfId="0" applyBorder="1" applyFont="1"/>
    <xf borderId="3" fillId="6" fontId="54" numFmtId="0" xfId="0" applyBorder="1" applyFont="1"/>
    <xf borderId="3" fillId="7" fontId="55" numFmtId="0" xfId="0" applyBorder="1" applyFont="1"/>
    <xf borderId="3" fillId="27" fontId="15" numFmtId="0" xfId="0" applyAlignment="1" applyBorder="1" applyFont="1">
      <alignment vertical="center"/>
    </xf>
    <xf borderId="3" fillId="27" fontId="56" numFmtId="0" xfId="0" applyAlignment="1" applyBorder="1" applyFont="1">
      <alignment vertical="center"/>
    </xf>
    <xf borderId="3" fillId="12" fontId="57" numFmtId="0" xfId="0" applyAlignment="1" applyBorder="1" applyFont="1">
      <alignment vertical="center"/>
    </xf>
    <xf borderId="3" fillId="27" fontId="58" numFmtId="164" xfId="0" applyAlignment="1" applyBorder="1" applyFont="1" applyNumberFormat="1">
      <alignment vertical="center"/>
    </xf>
    <xf borderId="3" fillId="26" fontId="15" numFmtId="0" xfId="0" applyAlignment="1" applyBorder="1" applyFont="1">
      <alignment vertical="center"/>
    </xf>
    <xf borderId="3" fillId="26" fontId="56" numFmtId="0" xfId="0" applyAlignment="1" applyBorder="1" applyFont="1">
      <alignment vertical="center"/>
    </xf>
    <xf borderId="3" fillId="26" fontId="58" numFmtId="164" xfId="0" applyAlignment="1" applyBorder="1" applyFont="1" applyNumberFormat="1">
      <alignment vertical="center"/>
    </xf>
    <xf borderId="3" fillId="13" fontId="57" numFmtId="0" xfId="0" applyAlignment="1" applyBorder="1" applyFont="1">
      <alignment vertical="center"/>
    </xf>
    <xf borderId="3" fillId="27" fontId="15" numFmtId="166" xfId="0" applyAlignment="1" applyBorder="1" applyFont="1" applyNumberFormat="1">
      <alignment vertical="center"/>
    </xf>
    <xf borderId="3" fillId="27" fontId="59" numFmtId="9" xfId="0" applyAlignment="1" applyBorder="1" applyFont="1" applyNumberFormat="1">
      <alignment vertical="center"/>
    </xf>
    <xf borderId="3" fillId="26" fontId="15" numFmtId="166" xfId="0" applyAlignment="1" applyBorder="1" applyFont="1" applyNumberFormat="1">
      <alignment vertical="center"/>
    </xf>
    <xf borderId="3" fillId="26" fontId="59" numFmtId="9" xfId="0" applyAlignment="1" applyBorder="1" applyFont="1" applyNumberFormat="1">
      <alignment vertical="center"/>
    </xf>
    <xf borderId="3" fillId="27" fontId="48" numFmtId="0" xfId="0" applyAlignment="1" applyBorder="1" applyFont="1">
      <alignment vertical="center"/>
    </xf>
    <xf borderId="3" fillId="26" fontId="51" numFmtId="0" xfId="0" applyAlignment="1" applyBorder="1" applyFont="1">
      <alignment vertical="center"/>
    </xf>
    <xf borderId="1" fillId="17" fontId="60" numFmtId="0" xfId="0" applyBorder="1" applyFont="1"/>
    <xf borderId="8" fillId="0" fontId="5" numFmtId="0" xfId="0" applyBorder="1" applyFont="1"/>
    <xf borderId="0" fillId="0" fontId="16" numFmtId="0" xfId="0" applyFont="1"/>
    <xf borderId="7" fillId="2" fontId="61" numFmtId="0" xfId="0" applyAlignment="1" applyBorder="1" applyFont="1">
      <alignment horizontal="center" shrinkToFit="0" vertical="center" wrapText="1"/>
    </xf>
    <xf borderId="1" fillId="17" fontId="42" numFmtId="0" xfId="0" applyAlignment="1" applyBorder="1" applyFont="1">
      <alignment vertical="center"/>
    </xf>
    <xf borderId="3" fillId="27" fontId="62" numFmtId="0" xfId="0" applyAlignment="1" applyBorder="1" applyFont="1">
      <alignment vertical="center"/>
    </xf>
    <xf borderId="3" fillId="14" fontId="57" numFmtId="0" xfId="0" applyAlignment="1" applyBorder="1" applyFont="1">
      <alignment horizontal="center" readingOrder="0" vertical="center"/>
    </xf>
    <xf borderId="3" fillId="28" fontId="43" numFmtId="164" xfId="0" applyAlignment="1" applyBorder="1" applyFill="1" applyFont="1" applyNumberFormat="1">
      <alignment horizontal="right" vertical="center"/>
    </xf>
    <xf borderId="3" fillId="27" fontId="6" numFmtId="9" xfId="0" applyAlignment="1" applyBorder="1" applyFont="1" applyNumberFormat="1">
      <alignment horizontal="center" vertical="center"/>
    </xf>
    <xf borderId="3" fillId="27" fontId="6" numFmtId="0" xfId="0" applyAlignment="1" applyBorder="1" applyFont="1">
      <alignment shrinkToFit="0" vertical="top" wrapText="1"/>
    </xf>
    <xf borderId="3" fillId="26" fontId="63" numFmtId="0" xfId="0" applyAlignment="1" applyBorder="1" applyFont="1">
      <alignment vertical="center"/>
    </xf>
    <xf borderId="3" fillId="14" fontId="57" numFmtId="0" xfId="0" applyAlignment="1" applyBorder="1" applyFont="1">
      <alignment horizontal="center" vertical="center"/>
    </xf>
    <xf borderId="3" fillId="26" fontId="6" numFmtId="9" xfId="0" applyAlignment="1" applyBorder="1" applyFont="1" applyNumberFormat="1">
      <alignment horizontal="center" vertical="center"/>
    </xf>
    <xf borderId="3" fillId="26" fontId="6" numFmtId="0" xfId="0" applyAlignment="1" applyBorder="1" applyFont="1">
      <alignment shrinkToFit="0" vertical="top" wrapText="1"/>
    </xf>
    <xf borderId="3" fillId="13" fontId="57" numFmtId="0" xfId="0" applyAlignment="1" applyBorder="1" applyFont="1">
      <alignment horizontal="center" vertical="center"/>
    </xf>
    <xf borderId="9" fillId="27" fontId="57" numFmtId="0" xfId="0" applyAlignment="1" applyBorder="1" applyFont="1">
      <alignment vertical="center"/>
    </xf>
    <xf borderId="10" fillId="0" fontId="5" numFmtId="0" xfId="0" applyBorder="1" applyFont="1"/>
    <xf borderId="11" fillId="0" fontId="5" numFmtId="0" xfId="0" applyBorder="1" applyFont="1"/>
    <xf borderId="3" fillId="27" fontId="33" numFmtId="0" xfId="0" applyBorder="1" applyFont="1"/>
    <xf borderId="3" fillId="27" fontId="57" numFmtId="166" xfId="0" applyBorder="1" applyFont="1" applyNumberFormat="1"/>
    <xf borderId="1" fillId="18" fontId="64" numFmtId="0" xfId="0" applyBorder="1" applyFont="1"/>
    <xf borderId="1" fillId="18" fontId="45" numFmtId="0" xfId="0" applyAlignment="1" applyBorder="1" applyFont="1">
      <alignment vertical="center"/>
    </xf>
    <xf borderId="3" fillId="27" fontId="65" numFmtId="0" xfId="0" applyAlignment="1" applyBorder="1" applyFont="1">
      <alignment vertical="center"/>
    </xf>
    <xf borderId="3" fillId="26" fontId="66" numFmtId="0" xfId="0" applyAlignment="1" applyBorder="1" applyFont="1">
      <alignment vertical="center"/>
    </xf>
    <xf borderId="3" fillId="15" fontId="57" numFmtId="0" xfId="0" applyAlignment="1" applyBorder="1" applyFont="1">
      <alignment horizontal="center" vertical="center"/>
    </xf>
    <xf borderId="3" fillId="12" fontId="57" numFmtId="0" xfId="0" applyAlignment="1" applyBorder="1" applyFont="1">
      <alignment horizontal="center" vertical="center"/>
    </xf>
    <xf borderId="3" fillId="11" fontId="57" numFmtId="0" xfId="0" applyAlignment="1" applyBorder="1" applyFont="1">
      <alignment horizontal="center" vertical="center"/>
    </xf>
    <xf borderId="1" fillId="20" fontId="67" numFmtId="0" xfId="0" applyBorder="1" applyFont="1"/>
    <xf borderId="1" fillId="20" fontId="47" numFmtId="0" xfId="0" applyAlignment="1" applyBorder="1" applyFont="1">
      <alignment vertical="center"/>
    </xf>
    <xf borderId="3" fillId="27" fontId="68" numFmtId="0" xfId="0" applyAlignment="1" applyBorder="1" applyFont="1">
      <alignment vertical="center"/>
    </xf>
    <xf borderId="3" fillId="26" fontId="69" numFmtId="0" xfId="0" applyAlignment="1" applyBorder="1" applyFont="1">
      <alignment vertical="center"/>
    </xf>
    <xf borderId="1" fillId="21" fontId="70" numFmtId="0" xfId="0" applyBorder="1" applyFont="1"/>
    <xf borderId="1" fillId="21" fontId="48" numFmtId="0" xfId="0" applyAlignment="1" applyBorder="1" applyFont="1">
      <alignment vertical="center"/>
    </xf>
    <xf borderId="3" fillId="27" fontId="71" numFmtId="0" xfId="0" applyAlignment="1" applyBorder="1" applyFont="1">
      <alignment vertical="center"/>
    </xf>
    <xf borderId="3" fillId="26" fontId="72" numFmtId="0" xfId="0" applyAlignment="1" applyBorder="1" applyFont="1">
      <alignment vertical="center"/>
    </xf>
    <xf borderId="1" fillId="22" fontId="73" numFmtId="0" xfId="0" applyBorder="1" applyFont="1"/>
    <xf borderId="1" fillId="22" fontId="49" numFmtId="0" xfId="0" applyAlignment="1" applyBorder="1" applyFont="1">
      <alignment vertical="center"/>
    </xf>
    <xf borderId="3" fillId="27" fontId="74" numFmtId="0" xfId="0" applyAlignment="1" applyBorder="1" applyFont="1">
      <alignment vertical="center"/>
    </xf>
    <xf borderId="3" fillId="26" fontId="75" numFmtId="0" xfId="0" applyAlignment="1" applyBorder="1" applyFont="1">
      <alignment vertical="center"/>
    </xf>
    <xf borderId="1" fillId="23" fontId="76" numFmtId="0" xfId="0" applyBorder="1" applyFont="1"/>
    <xf borderId="1" fillId="23" fontId="50" numFmtId="0" xfId="0" applyAlignment="1" applyBorder="1" applyFont="1">
      <alignment vertical="center"/>
    </xf>
    <xf borderId="3" fillId="27" fontId="77" numFmtId="0" xfId="0" applyAlignment="1" applyBorder="1" applyFont="1">
      <alignment vertical="center"/>
    </xf>
    <xf borderId="3" fillId="26" fontId="78" numFmtId="0" xfId="0" applyAlignment="1" applyBorder="1" applyFont="1">
      <alignment vertical="center"/>
    </xf>
    <xf borderId="1" fillId="24" fontId="79" numFmtId="0" xfId="0" applyAlignment="1" applyBorder="1" applyFont="1">
      <alignment horizontal="right" readingOrder="0"/>
    </xf>
    <xf borderId="1" fillId="24" fontId="51" numFmtId="0" xfId="0" applyAlignment="1" applyBorder="1" applyFont="1">
      <alignment vertical="center"/>
    </xf>
    <xf borderId="3" fillId="27" fontId="80" numFmtId="0" xfId="0" applyAlignment="1" applyBorder="1" applyFont="1">
      <alignment vertical="center"/>
    </xf>
    <xf borderId="3" fillId="26" fontId="81" numFmtId="0" xfId="0" applyAlignment="1" applyBorder="1" applyFont="1">
      <alignment vertical="center"/>
    </xf>
    <xf borderId="3" fillId="27" fontId="46" numFmtId="0" xfId="0" applyAlignment="1" applyBorder="1" applyFont="1">
      <alignment vertical="center"/>
    </xf>
    <xf borderId="3" fillId="27" fontId="82" numFmtId="0" xfId="0" applyAlignment="1" applyBorder="1" applyFont="1">
      <alignment vertical="center"/>
    </xf>
    <xf borderId="3" fillId="27" fontId="6" numFmtId="9" xfId="0" applyAlignment="1" applyBorder="1" applyFont="1" applyNumberFormat="1">
      <alignment vertical="center"/>
    </xf>
    <xf borderId="3" fillId="26" fontId="82" numFmtId="0" xfId="0" applyAlignment="1" applyBorder="1" applyFont="1">
      <alignment vertical="center"/>
    </xf>
    <xf borderId="3" fillId="26" fontId="6" numFmtId="9" xfId="0" applyAlignment="1" applyBorder="1" applyFont="1" applyNumberFormat="1">
      <alignment vertical="center"/>
    </xf>
  </cellXfs>
  <cellStyles count="1">
    <cellStyle xfId="0" name="Normal" builtinId="0"/>
  </cellStyles>
  <dxfs count="17">
    <dxf>
      <font>
        <b/>
        <sz val="10.0"/>
        <color rgb="FF14532D"/>
        <name val="Arial"/>
      </font>
      <fill>
        <patternFill patternType="solid">
          <fgColor rgb="FFBBF7D0"/>
          <bgColor rgb="FFBBF7D0"/>
        </patternFill>
      </fill>
      <border/>
    </dxf>
    <dxf>
      <font>
        <b/>
        <sz val="10.0"/>
        <color rgb="FF1E3A8A"/>
        <name val="Arial"/>
      </font>
      <fill>
        <patternFill patternType="solid">
          <fgColor rgb="FFBFDBFE"/>
          <bgColor rgb="FFBFDBFE"/>
        </patternFill>
      </fill>
      <border/>
    </dxf>
    <dxf>
      <font>
        <b/>
        <sz val="10.0"/>
        <color rgb="FF78350F"/>
        <name val="Arial"/>
      </font>
      <fill>
        <patternFill patternType="solid">
          <fgColor rgb="FFFDE68A"/>
          <bgColor rgb="FFFDE68A"/>
        </patternFill>
      </fill>
      <border/>
    </dxf>
    <dxf>
      <font>
        <b/>
        <sz val="10.0"/>
        <color rgb="FF7F1D1D"/>
        <name val="Arial"/>
      </font>
      <fill>
        <patternFill patternType="solid">
          <fgColor rgb="FFFECACA"/>
          <bgColor rgb="FFFECACA"/>
        </patternFill>
      </fill>
      <border/>
    </dxf>
    <dxf>
      <font>
        <b/>
        <sz val="10.0"/>
        <color rgb="FF4C1D95"/>
        <name val="Arial"/>
      </font>
      <fill>
        <patternFill patternType="solid">
          <fgColor rgb="FFDDD6FE"/>
          <bgColor rgb="FFDDD6FE"/>
        </patternFill>
      </fill>
      <border/>
    </dxf>
    <dxf>
      <font>
        <b/>
        <sz val="10.0"/>
        <color rgb="FF475569"/>
        <name val="Arial"/>
      </font>
      <fill>
        <patternFill patternType="solid">
          <fgColor rgb="FFE2E8F0"/>
          <bgColor rgb="FFE2E8F0"/>
        </patternFill>
      </fill>
      <border/>
    </dxf>
    <dxf>
      <font>
        <sz val="10.0"/>
        <color rgb="FF14532D"/>
        <name val="Arial"/>
      </font>
      <fill>
        <patternFill patternType="solid">
          <fgColor rgb="FFBBF7D0"/>
          <bgColor rgb="FFBBF7D0"/>
        </patternFill>
      </fill>
      <border/>
    </dxf>
    <dxf>
      <font>
        <sz val="10.0"/>
        <color rgb="FF1E3A8A"/>
        <name val="Arial"/>
      </font>
      <fill>
        <patternFill patternType="solid">
          <fgColor rgb="FFBFDBFE"/>
          <bgColor rgb="FFBFDBFE"/>
        </patternFill>
      </fill>
      <border/>
    </dxf>
    <dxf>
      <font>
        <sz val="10.0"/>
        <color rgb="FF78350F"/>
        <name val="Arial"/>
      </font>
      <fill>
        <patternFill patternType="solid">
          <fgColor rgb="FFFDE68A"/>
          <bgColor rgb="FFFDE68A"/>
        </patternFill>
      </fill>
      <border/>
    </dxf>
    <dxf>
      <font>
        <sz val="10.0"/>
        <color rgb="FF7C2D12"/>
        <name val="Arial"/>
      </font>
      <fill>
        <patternFill patternType="solid">
          <fgColor rgb="FFFED7AA"/>
          <bgColor rgb="FFFED7AA"/>
        </patternFill>
      </fill>
      <border/>
    </dxf>
    <dxf>
      <font>
        <b/>
        <sz val="10.0"/>
        <color rgb="FF0F172A"/>
        <name val="Arial"/>
      </font>
      <fill>
        <patternFill patternType="solid">
          <fgColor rgb="FF86EFAC"/>
          <bgColor rgb="FF86EFAC"/>
        </patternFill>
      </fill>
      <border/>
    </dxf>
    <dxf>
      <font>
        <b/>
        <sz val="10.0"/>
        <color rgb="FF0F172A"/>
        <name val="Arial"/>
      </font>
      <fill>
        <patternFill patternType="solid">
          <fgColor rgb="FF93C5FD"/>
          <bgColor rgb="FF93C5FD"/>
        </patternFill>
      </fill>
      <border/>
    </dxf>
    <dxf>
      <font>
        <b/>
        <sz val="10.0"/>
        <color rgb="FF0F172A"/>
        <name val="Arial"/>
      </font>
      <fill>
        <patternFill patternType="solid">
          <fgColor rgb="FFFDE047"/>
          <bgColor rgb="FFFDE047"/>
        </patternFill>
      </fill>
      <border/>
    </dxf>
    <dxf>
      <font>
        <b/>
        <sz val="10.0"/>
        <color rgb="FF0F172A"/>
        <name val="Arial"/>
      </font>
      <fill>
        <patternFill patternType="solid">
          <fgColor rgb="FFFDBA74"/>
          <bgColor rgb="FFFDBA74"/>
        </patternFill>
      </fill>
      <border/>
    </dxf>
    <dxf>
      <font>
        <b/>
        <sz val="10.0"/>
        <color rgb="FF0F172A"/>
        <name val="Arial"/>
      </font>
      <fill>
        <patternFill patternType="solid">
          <fgColor rgb="FFFCA5A5"/>
          <bgColor rgb="FFFCA5A5"/>
        </patternFill>
      </fill>
      <border/>
    </dxf>
    <dxf>
      <font>
        <b/>
        <sz val="10.0"/>
        <color rgb="FF7C2D12"/>
        <name val="Arial"/>
      </font>
      <fill>
        <patternFill patternType="solid">
          <fgColor rgb="FFFDBA74"/>
          <bgColor rgb="FFFDBA74"/>
        </patternFill>
      </fill>
      <border/>
    </dxf>
    <dxf>
      <font>
        <b/>
        <sz val="10.0"/>
        <color rgb="FF7F1D1D"/>
        <name val="Arial"/>
      </font>
      <fill>
        <patternFill patternType="solid">
          <fgColor rgb="FFFCA5A5"/>
          <bgColor rgb="FFFCA5A5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Distribuicao do Patrimonio por Categoria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DASHBOARD!$X$16</c:f>
            </c:strRef>
          </c:tx>
          <c:dPt>
            <c:idx val="0"/>
            <c:spPr>
              <a:solidFill>
                <a:srgbClr val="6366F1"/>
              </a:solidFill>
            </c:spPr>
          </c:dPt>
          <c:dPt>
            <c:idx val="1"/>
            <c:spPr>
              <a:solidFill>
                <a:srgbClr val="10B981"/>
              </a:solidFill>
            </c:spPr>
          </c:dPt>
          <c:dPt>
            <c:idx val="2"/>
            <c:spPr>
              <a:solidFill>
                <a:srgbClr val="F59E0B"/>
              </a:solidFill>
            </c:spPr>
          </c:dPt>
          <c:dPt>
            <c:idx val="3"/>
            <c:spPr>
              <a:solidFill>
                <a:srgbClr val="EF4444"/>
              </a:solidFill>
            </c:spPr>
          </c:dPt>
          <c:dPt>
            <c:idx val="4"/>
            <c:spPr>
              <a:solidFill>
                <a:srgbClr val="3B82F6"/>
              </a:solidFill>
            </c:spPr>
          </c:dPt>
          <c:dPt>
            <c:idx val="5"/>
            <c:spPr>
              <a:solidFill>
                <a:srgbClr val="8B5CF6"/>
              </a:solidFill>
            </c:spPr>
          </c:dPt>
          <c:dPt>
            <c:idx val="6"/>
            <c:spPr>
              <a:solidFill>
                <a:srgbClr val="14B8A6"/>
              </a:solidFill>
            </c:spPr>
          </c:dPt>
          <c:dPt>
            <c:idx val="7"/>
            <c:spPr>
              <a:solidFill>
                <a:srgbClr val="F9731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val>
            <c:numRef>
              <c:f>DASHBOARD!$X$17:$X$24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142875</xdr:colOff>
      <xdr:row>11</xdr:row>
      <xdr:rowOff>228600</xdr:rowOff>
    </xdr:from>
    <xdr:ext cx="3162300" cy="4133850"/>
    <xdr:graphicFrame>
      <xdr:nvGraphicFramePr>
        <xdr:cNvPr id="429921293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mmd.app/s/MMD-ILU-0131" TargetMode="External"/><Relationship Id="rId190" Type="http://schemas.openxmlformats.org/officeDocument/2006/relationships/hyperlink" Target="https://mmd.app/s/MMD-ILU-0011" TargetMode="External"/><Relationship Id="rId42" Type="http://schemas.openxmlformats.org/officeDocument/2006/relationships/hyperlink" Target="https://mmd.app/s/MMD-ILU-0133" TargetMode="External"/><Relationship Id="rId41" Type="http://schemas.openxmlformats.org/officeDocument/2006/relationships/hyperlink" Target="https://mmd.app/s/MMD-ILU-0132" TargetMode="External"/><Relationship Id="rId44" Type="http://schemas.openxmlformats.org/officeDocument/2006/relationships/hyperlink" Target="https://mmd.app/s/MMD-ILU-0135" TargetMode="External"/><Relationship Id="rId194" Type="http://schemas.openxmlformats.org/officeDocument/2006/relationships/hyperlink" Target="https://mmd.app/s/MMD-ILU-0016" TargetMode="External"/><Relationship Id="rId43" Type="http://schemas.openxmlformats.org/officeDocument/2006/relationships/hyperlink" Target="https://mmd.app/s/MMD-ILU-0134" TargetMode="External"/><Relationship Id="rId193" Type="http://schemas.openxmlformats.org/officeDocument/2006/relationships/hyperlink" Target="https://mmd.app/s/MMD-ILU-0015" TargetMode="External"/><Relationship Id="rId46" Type="http://schemas.openxmlformats.org/officeDocument/2006/relationships/hyperlink" Target="https://mmd.app/s/MMD-ILU-0137" TargetMode="External"/><Relationship Id="rId192" Type="http://schemas.openxmlformats.org/officeDocument/2006/relationships/hyperlink" Target="https://mmd.app/s/MMD-ILU-0014" TargetMode="External"/><Relationship Id="rId45" Type="http://schemas.openxmlformats.org/officeDocument/2006/relationships/hyperlink" Target="https://mmd.app/s/MMD-ILU-0136" TargetMode="External"/><Relationship Id="rId191" Type="http://schemas.openxmlformats.org/officeDocument/2006/relationships/hyperlink" Target="https://mmd.app/s/MMD-ILU-0012" TargetMode="External"/><Relationship Id="rId48" Type="http://schemas.openxmlformats.org/officeDocument/2006/relationships/hyperlink" Target="https://mmd.app/s/MMD-ILU-0139" TargetMode="External"/><Relationship Id="rId187" Type="http://schemas.openxmlformats.org/officeDocument/2006/relationships/hyperlink" Target="https://mmd.app/s/MMD-ILU-0008" TargetMode="External"/><Relationship Id="rId47" Type="http://schemas.openxmlformats.org/officeDocument/2006/relationships/hyperlink" Target="https://mmd.app/s/MMD-ILU-0138" TargetMode="External"/><Relationship Id="rId186" Type="http://schemas.openxmlformats.org/officeDocument/2006/relationships/hyperlink" Target="https://mmd.app/s/MMD-ILU-0007" TargetMode="External"/><Relationship Id="rId185" Type="http://schemas.openxmlformats.org/officeDocument/2006/relationships/hyperlink" Target="https://mmd.app/s/MMD-ILU-0006" TargetMode="External"/><Relationship Id="rId49" Type="http://schemas.openxmlformats.org/officeDocument/2006/relationships/hyperlink" Target="https://mmd.app/s/MMD-ILU-0140" TargetMode="External"/><Relationship Id="rId184" Type="http://schemas.openxmlformats.org/officeDocument/2006/relationships/hyperlink" Target="https://mmd.app/s/MMD-ILU-0005" TargetMode="External"/><Relationship Id="rId189" Type="http://schemas.openxmlformats.org/officeDocument/2006/relationships/hyperlink" Target="https://mmd.app/s/MMD-ILU-0010" TargetMode="External"/><Relationship Id="rId188" Type="http://schemas.openxmlformats.org/officeDocument/2006/relationships/hyperlink" Target="https://mmd.app/s/MMD-ILU-0009" TargetMode="External"/><Relationship Id="rId31" Type="http://schemas.openxmlformats.org/officeDocument/2006/relationships/hyperlink" Target="https://mmd.app/s/MMD-ILU-0122" TargetMode="External"/><Relationship Id="rId30" Type="http://schemas.openxmlformats.org/officeDocument/2006/relationships/hyperlink" Target="https://mmd.app/s/MMD-ILU-0121" TargetMode="External"/><Relationship Id="rId33" Type="http://schemas.openxmlformats.org/officeDocument/2006/relationships/hyperlink" Target="https://mmd.app/s/MMD-ILU-0124" TargetMode="External"/><Relationship Id="rId183" Type="http://schemas.openxmlformats.org/officeDocument/2006/relationships/hyperlink" Target="https://mmd.app/s/MMD-ILU-0004" TargetMode="External"/><Relationship Id="rId32" Type="http://schemas.openxmlformats.org/officeDocument/2006/relationships/hyperlink" Target="https://mmd.app/s/MMD-ILU-0123" TargetMode="External"/><Relationship Id="rId182" Type="http://schemas.openxmlformats.org/officeDocument/2006/relationships/hyperlink" Target="https://mmd.app/s/MMD-ILU-0003" TargetMode="External"/><Relationship Id="rId35" Type="http://schemas.openxmlformats.org/officeDocument/2006/relationships/hyperlink" Target="https://mmd.app/s/MMD-ILU-0126" TargetMode="External"/><Relationship Id="rId181" Type="http://schemas.openxmlformats.org/officeDocument/2006/relationships/hyperlink" Target="https://mmd.app/s/MMD-ILU-0002" TargetMode="External"/><Relationship Id="rId34" Type="http://schemas.openxmlformats.org/officeDocument/2006/relationships/hyperlink" Target="https://mmd.app/s/MMD-ILU-0125" TargetMode="External"/><Relationship Id="rId180" Type="http://schemas.openxmlformats.org/officeDocument/2006/relationships/hyperlink" Target="https://mmd.app/s/MMD-ILU-0001" TargetMode="External"/><Relationship Id="rId37" Type="http://schemas.openxmlformats.org/officeDocument/2006/relationships/hyperlink" Target="https://mmd.app/s/MMD-ILU-0128" TargetMode="External"/><Relationship Id="rId176" Type="http://schemas.openxmlformats.org/officeDocument/2006/relationships/hyperlink" Target="https://mmd.app/s/MMD-ILU-0264" TargetMode="External"/><Relationship Id="rId36" Type="http://schemas.openxmlformats.org/officeDocument/2006/relationships/hyperlink" Target="https://mmd.app/s/MMD-ILU-0127" TargetMode="External"/><Relationship Id="rId175" Type="http://schemas.openxmlformats.org/officeDocument/2006/relationships/hyperlink" Target="https://mmd.app/s/MMD-ILU-0263" TargetMode="External"/><Relationship Id="rId39" Type="http://schemas.openxmlformats.org/officeDocument/2006/relationships/hyperlink" Target="https://mmd.app/s/MMD-ILU-0130" TargetMode="External"/><Relationship Id="rId174" Type="http://schemas.openxmlformats.org/officeDocument/2006/relationships/hyperlink" Target="https://mmd.app/s/MMD-ILU-0262" TargetMode="External"/><Relationship Id="rId38" Type="http://schemas.openxmlformats.org/officeDocument/2006/relationships/hyperlink" Target="https://mmd.app/s/MMD-ILU-0129" TargetMode="External"/><Relationship Id="rId173" Type="http://schemas.openxmlformats.org/officeDocument/2006/relationships/hyperlink" Target="https://mmd.app/s/MMD-ILU-0261" TargetMode="External"/><Relationship Id="rId179" Type="http://schemas.openxmlformats.org/officeDocument/2006/relationships/hyperlink" Target="https://mmd.app/s/MMD-ILU-0267" TargetMode="External"/><Relationship Id="rId178" Type="http://schemas.openxmlformats.org/officeDocument/2006/relationships/hyperlink" Target="https://mmd.app/s/MMD-ILU-0266" TargetMode="External"/><Relationship Id="rId177" Type="http://schemas.openxmlformats.org/officeDocument/2006/relationships/hyperlink" Target="https://mmd.app/s/MMD-ILU-0265" TargetMode="External"/><Relationship Id="rId20" Type="http://schemas.openxmlformats.org/officeDocument/2006/relationships/hyperlink" Target="https://mmd.app/s/MMD-ILU-0082" TargetMode="External"/><Relationship Id="rId22" Type="http://schemas.openxmlformats.org/officeDocument/2006/relationships/hyperlink" Target="https://mmd.app/s/MMD-ILU-0187" TargetMode="External"/><Relationship Id="rId21" Type="http://schemas.openxmlformats.org/officeDocument/2006/relationships/hyperlink" Target="https://mmd.app/s/MMD-ILU-0083" TargetMode="External"/><Relationship Id="rId24" Type="http://schemas.openxmlformats.org/officeDocument/2006/relationships/hyperlink" Target="https://mmd.app/s/MMD-ILU-0061" TargetMode="External"/><Relationship Id="rId23" Type="http://schemas.openxmlformats.org/officeDocument/2006/relationships/hyperlink" Target="https://mmd.app/s/MMD-ILU-0060" TargetMode="External"/><Relationship Id="rId26" Type="http://schemas.openxmlformats.org/officeDocument/2006/relationships/hyperlink" Target="https://mmd.app/s/MMD-ILU-0064" TargetMode="External"/><Relationship Id="rId25" Type="http://schemas.openxmlformats.org/officeDocument/2006/relationships/hyperlink" Target="https://mmd.app/s/MMD-ILU-0062" TargetMode="External"/><Relationship Id="rId28" Type="http://schemas.openxmlformats.org/officeDocument/2006/relationships/hyperlink" Target="https://mmd.app/s/MMD-ILU-0119" TargetMode="External"/><Relationship Id="rId27" Type="http://schemas.openxmlformats.org/officeDocument/2006/relationships/hyperlink" Target="https://mmd.app/s/MMD-ILU-0118" TargetMode="External"/><Relationship Id="rId29" Type="http://schemas.openxmlformats.org/officeDocument/2006/relationships/hyperlink" Target="https://mmd.app/s/MMD-ILU-0120" TargetMode="External"/><Relationship Id="rId11" Type="http://schemas.openxmlformats.org/officeDocument/2006/relationships/hyperlink" Target="https://mmd.app/s/MMD-ILU-0149" TargetMode="External"/><Relationship Id="rId10" Type="http://schemas.openxmlformats.org/officeDocument/2006/relationships/hyperlink" Target="https://mmd.app/s/MMD-ILU-0148" TargetMode="External"/><Relationship Id="rId13" Type="http://schemas.openxmlformats.org/officeDocument/2006/relationships/hyperlink" Target="https://mmd.app/s/MMD-ILU-0151" TargetMode="External"/><Relationship Id="rId12" Type="http://schemas.openxmlformats.org/officeDocument/2006/relationships/hyperlink" Target="https://mmd.app/s/MMD-ILU-0150" TargetMode="External"/><Relationship Id="rId15" Type="http://schemas.openxmlformats.org/officeDocument/2006/relationships/hyperlink" Target="https://mmd.app/s/MMD-ILU-0153" TargetMode="External"/><Relationship Id="rId198" Type="http://schemas.openxmlformats.org/officeDocument/2006/relationships/hyperlink" Target="https://mmd.app/s/MMD-ILU-0032" TargetMode="External"/><Relationship Id="rId14" Type="http://schemas.openxmlformats.org/officeDocument/2006/relationships/hyperlink" Target="https://mmd.app/s/MMD-ILU-0152" TargetMode="External"/><Relationship Id="rId197" Type="http://schemas.openxmlformats.org/officeDocument/2006/relationships/hyperlink" Target="https://mmd.app/s/MMD-ILU-0023" TargetMode="External"/><Relationship Id="rId17" Type="http://schemas.openxmlformats.org/officeDocument/2006/relationships/hyperlink" Target="https://mmd.app/s/MMD-ILU-0155" TargetMode="External"/><Relationship Id="rId196" Type="http://schemas.openxmlformats.org/officeDocument/2006/relationships/hyperlink" Target="https://mmd.app/s/MMD-ILU-0018" TargetMode="External"/><Relationship Id="rId16" Type="http://schemas.openxmlformats.org/officeDocument/2006/relationships/hyperlink" Target="https://mmd.app/s/MMD-ILU-0154" TargetMode="External"/><Relationship Id="rId195" Type="http://schemas.openxmlformats.org/officeDocument/2006/relationships/hyperlink" Target="https://mmd.app/s/MMD-ILU-0017" TargetMode="External"/><Relationship Id="rId19" Type="http://schemas.openxmlformats.org/officeDocument/2006/relationships/hyperlink" Target="https://mmd.app/s/MMD-ILU-0186" TargetMode="External"/><Relationship Id="rId18" Type="http://schemas.openxmlformats.org/officeDocument/2006/relationships/hyperlink" Target="https://mmd.app/s/MMD-ILU-0185" TargetMode="External"/><Relationship Id="rId199" Type="http://schemas.openxmlformats.org/officeDocument/2006/relationships/hyperlink" Target="https://mmd.app/s/MMD-ILU-0034" TargetMode="External"/><Relationship Id="rId84" Type="http://schemas.openxmlformats.org/officeDocument/2006/relationships/hyperlink" Target="https://mmd.app/s/MMD-ILU-0161" TargetMode="External"/><Relationship Id="rId83" Type="http://schemas.openxmlformats.org/officeDocument/2006/relationships/hyperlink" Target="https://mmd.app/s/MMD-ILU-0160" TargetMode="External"/><Relationship Id="rId86" Type="http://schemas.openxmlformats.org/officeDocument/2006/relationships/hyperlink" Target="https://mmd.app/s/MMD-ILU-0163" TargetMode="External"/><Relationship Id="rId85" Type="http://schemas.openxmlformats.org/officeDocument/2006/relationships/hyperlink" Target="https://mmd.app/s/MMD-ILU-0162" TargetMode="External"/><Relationship Id="rId88" Type="http://schemas.openxmlformats.org/officeDocument/2006/relationships/hyperlink" Target="https://mmd.app/s/MMD-ILU-0171" TargetMode="External"/><Relationship Id="rId150" Type="http://schemas.openxmlformats.org/officeDocument/2006/relationships/hyperlink" Target="https://mmd.app/s/MMD-ILU-0174" TargetMode="External"/><Relationship Id="rId271" Type="http://schemas.openxmlformats.org/officeDocument/2006/relationships/hyperlink" Target="https://mmd.app/s/MMD-ILU-0241" TargetMode="External"/><Relationship Id="rId87" Type="http://schemas.openxmlformats.org/officeDocument/2006/relationships/hyperlink" Target="https://mmd.app/s/MMD-ILU-0164" TargetMode="External"/><Relationship Id="rId270" Type="http://schemas.openxmlformats.org/officeDocument/2006/relationships/hyperlink" Target="https://mmd.app/s/MMD-ILU-0045" TargetMode="External"/><Relationship Id="rId89" Type="http://schemas.openxmlformats.org/officeDocument/2006/relationships/hyperlink" Target="https://mmd.app/s/MMD-ILU-0172" TargetMode="External"/><Relationship Id="rId80" Type="http://schemas.openxmlformats.org/officeDocument/2006/relationships/hyperlink" Target="https://mmd.app/s/MMD-ILU-0157" TargetMode="External"/><Relationship Id="rId82" Type="http://schemas.openxmlformats.org/officeDocument/2006/relationships/hyperlink" Target="https://mmd.app/s/MMD-ILU-0159" TargetMode="External"/><Relationship Id="rId81" Type="http://schemas.openxmlformats.org/officeDocument/2006/relationships/hyperlink" Target="https://mmd.app/s/MMD-ILU-0158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mmd.app/s/MMD-ILU-0065" TargetMode="External"/><Relationship Id="rId3" Type="http://schemas.openxmlformats.org/officeDocument/2006/relationships/hyperlink" Target="https://mmd.app/s/MMD-ILU-0066" TargetMode="External"/><Relationship Id="rId149" Type="http://schemas.openxmlformats.org/officeDocument/2006/relationships/hyperlink" Target="https://mmd.app/s/MMD-ILU-0237" TargetMode="External"/><Relationship Id="rId4" Type="http://schemas.openxmlformats.org/officeDocument/2006/relationships/hyperlink" Target="https://mmd.app/s/MMD-ILU-0142" TargetMode="External"/><Relationship Id="rId148" Type="http://schemas.openxmlformats.org/officeDocument/2006/relationships/hyperlink" Target="https://mmd.app/s/MMD-ILU-0236" TargetMode="External"/><Relationship Id="rId269" Type="http://schemas.openxmlformats.org/officeDocument/2006/relationships/hyperlink" Target="https://mmd.app/s/MMD-ILU-0044" TargetMode="External"/><Relationship Id="rId9" Type="http://schemas.openxmlformats.org/officeDocument/2006/relationships/hyperlink" Target="https://mmd.app/s/MMD-ILU-0147" TargetMode="External"/><Relationship Id="rId143" Type="http://schemas.openxmlformats.org/officeDocument/2006/relationships/hyperlink" Target="https://mmd.app/s/MMD-ILU-0117" TargetMode="External"/><Relationship Id="rId264" Type="http://schemas.openxmlformats.org/officeDocument/2006/relationships/hyperlink" Target="https://mmd.app/s/MMD-ILU-0183" TargetMode="External"/><Relationship Id="rId142" Type="http://schemas.openxmlformats.org/officeDocument/2006/relationships/hyperlink" Target="https://mmd.app/s/MMD-ILU-0116" TargetMode="External"/><Relationship Id="rId263" Type="http://schemas.openxmlformats.org/officeDocument/2006/relationships/hyperlink" Target="https://mmd.app/s/MMD-ILU-0182" TargetMode="External"/><Relationship Id="rId141" Type="http://schemas.openxmlformats.org/officeDocument/2006/relationships/hyperlink" Target="https://mmd.app/s/MMD-ILU-0079" TargetMode="External"/><Relationship Id="rId262" Type="http://schemas.openxmlformats.org/officeDocument/2006/relationships/hyperlink" Target="https://mmd.app/s/MMD-ILU-0181" TargetMode="External"/><Relationship Id="rId140" Type="http://schemas.openxmlformats.org/officeDocument/2006/relationships/hyperlink" Target="https://mmd.app/s/MMD-ILU-0078" TargetMode="External"/><Relationship Id="rId261" Type="http://schemas.openxmlformats.org/officeDocument/2006/relationships/hyperlink" Target="https://mmd.app/s/MMD-ILU-0080" TargetMode="External"/><Relationship Id="rId5" Type="http://schemas.openxmlformats.org/officeDocument/2006/relationships/hyperlink" Target="https://mmd.app/s/MMD-ILU-0143" TargetMode="External"/><Relationship Id="rId147" Type="http://schemas.openxmlformats.org/officeDocument/2006/relationships/hyperlink" Target="https://mmd.app/s/MMD-ILU-0184" TargetMode="External"/><Relationship Id="rId268" Type="http://schemas.openxmlformats.org/officeDocument/2006/relationships/hyperlink" Target="https://mmd.app/s/MMD-ILU-0043" TargetMode="External"/><Relationship Id="rId6" Type="http://schemas.openxmlformats.org/officeDocument/2006/relationships/hyperlink" Target="https://mmd.app/s/MMD-ILU-0144" TargetMode="External"/><Relationship Id="rId146" Type="http://schemas.openxmlformats.org/officeDocument/2006/relationships/hyperlink" Target="https://mmd.app/s/MMD-ILU-0180" TargetMode="External"/><Relationship Id="rId267" Type="http://schemas.openxmlformats.org/officeDocument/2006/relationships/hyperlink" Target="https://mmd.app/s/MMD-ILU-0042" TargetMode="External"/><Relationship Id="rId7" Type="http://schemas.openxmlformats.org/officeDocument/2006/relationships/hyperlink" Target="https://mmd.app/s/MMD-ILU-0145" TargetMode="External"/><Relationship Id="rId145" Type="http://schemas.openxmlformats.org/officeDocument/2006/relationships/hyperlink" Target="https://mmd.app/s/MMD-ILU-0179" TargetMode="External"/><Relationship Id="rId266" Type="http://schemas.openxmlformats.org/officeDocument/2006/relationships/hyperlink" Target="https://mmd.app/s/MMD-ILU-0041" TargetMode="External"/><Relationship Id="rId8" Type="http://schemas.openxmlformats.org/officeDocument/2006/relationships/hyperlink" Target="https://mmd.app/s/MMD-ILU-0146" TargetMode="External"/><Relationship Id="rId144" Type="http://schemas.openxmlformats.org/officeDocument/2006/relationships/hyperlink" Target="https://mmd.app/s/MMD-ILU-0242" TargetMode="External"/><Relationship Id="rId265" Type="http://schemas.openxmlformats.org/officeDocument/2006/relationships/hyperlink" Target="https://mmd.app/s/MMD-ILU-0038" TargetMode="External"/><Relationship Id="rId73" Type="http://schemas.openxmlformats.org/officeDocument/2006/relationships/hyperlink" Target="https://mmd.app/s/MMD-ILU-0033" TargetMode="External"/><Relationship Id="rId72" Type="http://schemas.openxmlformats.org/officeDocument/2006/relationships/hyperlink" Target="https://mmd.app/s/MMD-ILU-0031" TargetMode="External"/><Relationship Id="rId75" Type="http://schemas.openxmlformats.org/officeDocument/2006/relationships/hyperlink" Target="https://mmd.app/s/MMD-ILU-0036" TargetMode="External"/><Relationship Id="rId74" Type="http://schemas.openxmlformats.org/officeDocument/2006/relationships/hyperlink" Target="https://mmd.app/s/MMD-ILU-0035" TargetMode="External"/><Relationship Id="rId77" Type="http://schemas.openxmlformats.org/officeDocument/2006/relationships/hyperlink" Target="https://mmd.app/s/MMD-ILU-0039" TargetMode="External"/><Relationship Id="rId260" Type="http://schemas.openxmlformats.org/officeDocument/2006/relationships/hyperlink" Target="https://mmd.app/s/MMD-ILU-0063" TargetMode="External"/><Relationship Id="rId76" Type="http://schemas.openxmlformats.org/officeDocument/2006/relationships/hyperlink" Target="https://mmd.app/s/MMD-ILU-0037" TargetMode="External"/><Relationship Id="rId79" Type="http://schemas.openxmlformats.org/officeDocument/2006/relationships/hyperlink" Target="https://mmd.app/s/MMD-ILU-0156" TargetMode="External"/><Relationship Id="rId78" Type="http://schemas.openxmlformats.org/officeDocument/2006/relationships/hyperlink" Target="https://mmd.app/s/MMD-ILU-0040" TargetMode="External"/><Relationship Id="rId71" Type="http://schemas.openxmlformats.org/officeDocument/2006/relationships/hyperlink" Target="https://mmd.app/s/MMD-ILU-0030" TargetMode="External"/><Relationship Id="rId70" Type="http://schemas.openxmlformats.org/officeDocument/2006/relationships/hyperlink" Target="https://mmd.app/s/MMD-ILU-0029" TargetMode="External"/><Relationship Id="rId139" Type="http://schemas.openxmlformats.org/officeDocument/2006/relationships/hyperlink" Target="https://mmd.app/s/MMD-ILU-0077" TargetMode="External"/><Relationship Id="rId138" Type="http://schemas.openxmlformats.org/officeDocument/2006/relationships/hyperlink" Target="https://mmd.app/s/MMD-ILU-0059" TargetMode="External"/><Relationship Id="rId259" Type="http://schemas.openxmlformats.org/officeDocument/2006/relationships/hyperlink" Target="https://mmd.app/s/MMD-ILU-0270" TargetMode="External"/><Relationship Id="rId137" Type="http://schemas.openxmlformats.org/officeDocument/2006/relationships/hyperlink" Target="https://mmd.app/s/MMD-ILU-0058" TargetMode="External"/><Relationship Id="rId258" Type="http://schemas.openxmlformats.org/officeDocument/2006/relationships/hyperlink" Target="https://mmd.app/s/MMD-ILU-0269" TargetMode="External"/><Relationship Id="rId132" Type="http://schemas.openxmlformats.org/officeDocument/2006/relationships/hyperlink" Target="https://mmd.app/s/MMD-ILU-0233" TargetMode="External"/><Relationship Id="rId253" Type="http://schemas.openxmlformats.org/officeDocument/2006/relationships/hyperlink" Target="https://mmd.app/s/MMD-ILU-0238" TargetMode="External"/><Relationship Id="rId131" Type="http://schemas.openxmlformats.org/officeDocument/2006/relationships/hyperlink" Target="https://mmd.app/s/MMD-ILU-0232" TargetMode="External"/><Relationship Id="rId252" Type="http://schemas.openxmlformats.org/officeDocument/2006/relationships/hyperlink" Target="https://mmd.app/s/MMD-ILU-0115" TargetMode="External"/><Relationship Id="rId130" Type="http://schemas.openxmlformats.org/officeDocument/2006/relationships/hyperlink" Target="https://mmd.app/s/MMD-ILU-0231" TargetMode="External"/><Relationship Id="rId251" Type="http://schemas.openxmlformats.org/officeDocument/2006/relationships/hyperlink" Target="https://mmd.app/s/MMD-ILU-0114" TargetMode="External"/><Relationship Id="rId250" Type="http://schemas.openxmlformats.org/officeDocument/2006/relationships/hyperlink" Target="https://mmd.app/s/MMD-ILU-0113" TargetMode="External"/><Relationship Id="rId136" Type="http://schemas.openxmlformats.org/officeDocument/2006/relationships/hyperlink" Target="https://mmd.app/s/MMD-ILU-0057" TargetMode="External"/><Relationship Id="rId257" Type="http://schemas.openxmlformats.org/officeDocument/2006/relationships/hyperlink" Target="https://mmd.app/s/MMD-ILU-0268" TargetMode="External"/><Relationship Id="rId135" Type="http://schemas.openxmlformats.org/officeDocument/2006/relationships/hyperlink" Target="https://mmd.app/s/MMD-ILU-0050" TargetMode="External"/><Relationship Id="rId256" Type="http://schemas.openxmlformats.org/officeDocument/2006/relationships/hyperlink" Target="https://mmd.app/s/MMD-ILU-0173" TargetMode="External"/><Relationship Id="rId134" Type="http://schemas.openxmlformats.org/officeDocument/2006/relationships/hyperlink" Target="https://mmd.app/s/MMD-ILU-0235" TargetMode="External"/><Relationship Id="rId255" Type="http://schemas.openxmlformats.org/officeDocument/2006/relationships/hyperlink" Target="https://mmd.app/s/MMD-ILU-0240" TargetMode="External"/><Relationship Id="rId133" Type="http://schemas.openxmlformats.org/officeDocument/2006/relationships/hyperlink" Target="https://mmd.app/s/MMD-ILU-0234" TargetMode="External"/><Relationship Id="rId254" Type="http://schemas.openxmlformats.org/officeDocument/2006/relationships/hyperlink" Target="https://mmd.app/s/MMD-ILU-0239" TargetMode="External"/><Relationship Id="rId62" Type="http://schemas.openxmlformats.org/officeDocument/2006/relationships/hyperlink" Target="https://mmd.app/s/MMD-ILU-0020" TargetMode="External"/><Relationship Id="rId61" Type="http://schemas.openxmlformats.org/officeDocument/2006/relationships/hyperlink" Target="https://mmd.app/s/MMD-ILU-0019" TargetMode="External"/><Relationship Id="rId64" Type="http://schemas.openxmlformats.org/officeDocument/2006/relationships/hyperlink" Target="https://mmd.app/s/MMD-ILU-0022" TargetMode="External"/><Relationship Id="rId63" Type="http://schemas.openxmlformats.org/officeDocument/2006/relationships/hyperlink" Target="https://mmd.app/s/MMD-ILU-0021" TargetMode="External"/><Relationship Id="rId66" Type="http://schemas.openxmlformats.org/officeDocument/2006/relationships/hyperlink" Target="https://mmd.app/s/MMD-ILU-0025" TargetMode="External"/><Relationship Id="rId172" Type="http://schemas.openxmlformats.org/officeDocument/2006/relationships/hyperlink" Target="https://mmd.app/s/MMD-ILU-0260" TargetMode="External"/><Relationship Id="rId65" Type="http://schemas.openxmlformats.org/officeDocument/2006/relationships/hyperlink" Target="https://mmd.app/s/MMD-ILU-0024" TargetMode="External"/><Relationship Id="rId171" Type="http://schemas.openxmlformats.org/officeDocument/2006/relationships/hyperlink" Target="https://mmd.app/s/MMD-ILU-0259" TargetMode="External"/><Relationship Id="rId68" Type="http://schemas.openxmlformats.org/officeDocument/2006/relationships/hyperlink" Target="https://mmd.app/s/MMD-ILU-0027" TargetMode="External"/><Relationship Id="rId170" Type="http://schemas.openxmlformats.org/officeDocument/2006/relationships/hyperlink" Target="https://mmd.app/s/MMD-ILU-0258" TargetMode="External"/><Relationship Id="rId67" Type="http://schemas.openxmlformats.org/officeDocument/2006/relationships/hyperlink" Target="https://mmd.app/s/MMD-ILU-0026" TargetMode="External"/><Relationship Id="rId60" Type="http://schemas.openxmlformats.org/officeDocument/2006/relationships/hyperlink" Target="https://mmd.app/s/MMD-ILU-0013" TargetMode="External"/><Relationship Id="rId165" Type="http://schemas.openxmlformats.org/officeDocument/2006/relationships/hyperlink" Target="https://mmd.app/s/MMD-ILU-0253" TargetMode="External"/><Relationship Id="rId69" Type="http://schemas.openxmlformats.org/officeDocument/2006/relationships/hyperlink" Target="https://mmd.app/s/MMD-ILU-0028" TargetMode="External"/><Relationship Id="rId164" Type="http://schemas.openxmlformats.org/officeDocument/2006/relationships/hyperlink" Target="https://mmd.app/s/MMD-ILU-0252" TargetMode="External"/><Relationship Id="rId163" Type="http://schemas.openxmlformats.org/officeDocument/2006/relationships/hyperlink" Target="https://mmd.app/s/MMD-ILU-0251" TargetMode="External"/><Relationship Id="rId162" Type="http://schemas.openxmlformats.org/officeDocument/2006/relationships/hyperlink" Target="https://mmd.app/s/MMD-ILU-0250" TargetMode="External"/><Relationship Id="rId169" Type="http://schemas.openxmlformats.org/officeDocument/2006/relationships/hyperlink" Target="https://mmd.app/s/MMD-ILU-0257" TargetMode="External"/><Relationship Id="rId168" Type="http://schemas.openxmlformats.org/officeDocument/2006/relationships/hyperlink" Target="https://mmd.app/s/MMD-ILU-0256" TargetMode="External"/><Relationship Id="rId167" Type="http://schemas.openxmlformats.org/officeDocument/2006/relationships/hyperlink" Target="https://mmd.app/s/MMD-ILU-0255" TargetMode="External"/><Relationship Id="rId166" Type="http://schemas.openxmlformats.org/officeDocument/2006/relationships/hyperlink" Target="https://mmd.app/s/MMD-ILU-0254" TargetMode="External"/><Relationship Id="rId51" Type="http://schemas.openxmlformats.org/officeDocument/2006/relationships/hyperlink" Target="https://mmd.app/s/MMD-ILU-0165" TargetMode="External"/><Relationship Id="rId50" Type="http://schemas.openxmlformats.org/officeDocument/2006/relationships/hyperlink" Target="https://mmd.app/s/MMD-ILU-0141" TargetMode="External"/><Relationship Id="rId53" Type="http://schemas.openxmlformats.org/officeDocument/2006/relationships/hyperlink" Target="https://mmd.app/s/MMD-ILU-0167" TargetMode="External"/><Relationship Id="rId52" Type="http://schemas.openxmlformats.org/officeDocument/2006/relationships/hyperlink" Target="https://mmd.app/s/MMD-ILU-0166" TargetMode="External"/><Relationship Id="rId55" Type="http://schemas.openxmlformats.org/officeDocument/2006/relationships/hyperlink" Target="https://mmd.app/s/MMD-ILU-0169" TargetMode="External"/><Relationship Id="rId161" Type="http://schemas.openxmlformats.org/officeDocument/2006/relationships/hyperlink" Target="https://mmd.app/s/MMD-ILU-0249" TargetMode="External"/><Relationship Id="rId54" Type="http://schemas.openxmlformats.org/officeDocument/2006/relationships/hyperlink" Target="https://mmd.app/s/MMD-ILU-0168" TargetMode="External"/><Relationship Id="rId160" Type="http://schemas.openxmlformats.org/officeDocument/2006/relationships/hyperlink" Target="https://mmd.app/s/MMD-ILU-0248" TargetMode="External"/><Relationship Id="rId57" Type="http://schemas.openxmlformats.org/officeDocument/2006/relationships/hyperlink" Target="https://mmd.app/s/MMD-ILU-0188" TargetMode="External"/><Relationship Id="rId56" Type="http://schemas.openxmlformats.org/officeDocument/2006/relationships/hyperlink" Target="https://mmd.app/s/MMD-ILU-0170" TargetMode="External"/><Relationship Id="rId159" Type="http://schemas.openxmlformats.org/officeDocument/2006/relationships/hyperlink" Target="https://mmd.app/s/MMD-ILU-0247" TargetMode="External"/><Relationship Id="rId59" Type="http://schemas.openxmlformats.org/officeDocument/2006/relationships/hyperlink" Target="https://mmd.app/s/MMD-ILU-0190" TargetMode="External"/><Relationship Id="rId154" Type="http://schemas.openxmlformats.org/officeDocument/2006/relationships/hyperlink" Target="https://mmd.app/s/MMD-ILU-0178" TargetMode="External"/><Relationship Id="rId58" Type="http://schemas.openxmlformats.org/officeDocument/2006/relationships/hyperlink" Target="https://mmd.app/s/MMD-ILU-0189" TargetMode="External"/><Relationship Id="rId153" Type="http://schemas.openxmlformats.org/officeDocument/2006/relationships/hyperlink" Target="https://mmd.app/s/MMD-ILU-0177" TargetMode="External"/><Relationship Id="rId152" Type="http://schemas.openxmlformats.org/officeDocument/2006/relationships/hyperlink" Target="https://mmd.app/s/MMD-ILU-0176" TargetMode="External"/><Relationship Id="rId273" Type="http://schemas.openxmlformats.org/officeDocument/2006/relationships/vmlDrawing" Target="../drawings/vmlDrawing1.vml"/><Relationship Id="rId151" Type="http://schemas.openxmlformats.org/officeDocument/2006/relationships/hyperlink" Target="https://mmd.app/s/MMD-ILU-0175" TargetMode="External"/><Relationship Id="rId272" Type="http://schemas.openxmlformats.org/officeDocument/2006/relationships/drawing" Target="../drawings/drawing3.xml"/><Relationship Id="rId158" Type="http://schemas.openxmlformats.org/officeDocument/2006/relationships/hyperlink" Target="https://mmd.app/s/MMD-ILU-0246" TargetMode="External"/><Relationship Id="rId157" Type="http://schemas.openxmlformats.org/officeDocument/2006/relationships/hyperlink" Target="https://mmd.app/s/MMD-ILU-0245" TargetMode="External"/><Relationship Id="rId156" Type="http://schemas.openxmlformats.org/officeDocument/2006/relationships/hyperlink" Target="https://mmd.app/s/MMD-ILU-0244" TargetMode="External"/><Relationship Id="rId155" Type="http://schemas.openxmlformats.org/officeDocument/2006/relationships/hyperlink" Target="https://mmd.app/s/MMD-ILU-0243" TargetMode="External"/><Relationship Id="rId107" Type="http://schemas.openxmlformats.org/officeDocument/2006/relationships/hyperlink" Target="https://mmd.app/s/MMD-ILU-0208" TargetMode="External"/><Relationship Id="rId228" Type="http://schemas.openxmlformats.org/officeDocument/2006/relationships/hyperlink" Target="https://mmd.app/s/MMD-ILU-0091" TargetMode="External"/><Relationship Id="rId106" Type="http://schemas.openxmlformats.org/officeDocument/2006/relationships/hyperlink" Target="https://mmd.app/s/MMD-ILU-0207" TargetMode="External"/><Relationship Id="rId227" Type="http://schemas.openxmlformats.org/officeDocument/2006/relationships/hyperlink" Target="https://mmd.app/s/MMD-ILU-0090" TargetMode="External"/><Relationship Id="rId105" Type="http://schemas.openxmlformats.org/officeDocument/2006/relationships/hyperlink" Target="https://mmd.app/s/MMD-ILU-0206" TargetMode="External"/><Relationship Id="rId226" Type="http://schemas.openxmlformats.org/officeDocument/2006/relationships/hyperlink" Target="https://mmd.app/s/MMD-ILU-0089" TargetMode="External"/><Relationship Id="rId104" Type="http://schemas.openxmlformats.org/officeDocument/2006/relationships/hyperlink" Target="https://mmd.app/s/MMD-ILU-0205" TargetMode="External"/><Relationship Id="rId225" Type="http://schemas.openxmlformats.org/officeDocument/2006/relationships/hyperlink" Target="https://mmd.app/s/MMD-ILU-0088" TargetMode="External"/><Relationship Id="rId109" Type="http://schemas.openxmlformats.org/officeDocument/2006/relationships/hyperlink" Target="https://mmd.app/s/MMD-ILU-0210" TargetMode="External"/><Relationship Id="rId108" Type="http://schemas.openxmlformats.org/officeDocument/2006/relationships/hyperlink" Target="https://mmd.app/s/MMD-ILU-0209" TargetMode="External"/><Relationship Id="rId229" Type="http://schemas.openxmlformats.org/officeDocument/2006/relationships/hyperlink" Target="https://mmd.app/s/MMD-ILU-0092" TargetMode="External"/><Relationship Id="rId220" Type="http://schemas.openxmlformats.org/officeDocument/2006/relationships/hyperlink" Target="https://mmd.app/s/MMD-ILU-0081" TargetMode="External"/><Relationship Id="rId103" Type="http://schemas.openxmlformats.org/officeDocument/2006/relationships/hyperlink" Target="https://mmd.app/s/MMD-ILU-0204" TargetMode="External"/><Relationship Id="rId224" Type="http://schemas.openxmlformats.org/officeDocument/2006/relationships/hyperlink" Target="https://mmd.app/s/MMD-ILU-0087" TargetMode="External"/><Relationship Id="rId102" Type="http://schemas.openxmlformats.org/officeDocument/2006/relationships/hyperlink" Target="https://mmd.app/s/MMD-ILU-0203" TargetMode="External"/><Relationship Id="rId223" Type="http://schemas.openxmlformats.org/officeDocument/2006/relationships/hyperlink" Target="https://mmd.app/s/MMD-ILU-0086" TargetMode="External"/><Relationship Id="rId101" Type="http://schemas.openxmlformats.org/officeDocument/2006/relationships/hyperlink" Target="https://mmd.app/s/MMD-ILU-0202" TargetMode="External"/><Relationship Id="rId222" Type="http://schemas.openxmlformats.org/officeDocument/2006/relationships/hyperlink" Target="https://mmd.app/s/MMD-ILU-0085" TargetMode="External"/><Relationship Id="rId100" Type="http://schemas.openxmlformats.org/officeDocument/2006/relationships/hyperlink" Target="https://mmd.app/s/MMD-ILU-0201" TargetMode="External"/><Relationship Id="rId221" Type="http://schemas.openxmlformats.org/officeDocument/2006/relationships/hyperlink" Target="https://mmd.app/s/MMD-ILU-0084" TargetMode="External"/><Relationship Id="rId217" Type="http://schemas.openxmlformats.org/officeDocument/2006/relationships/hyperlink" Target="https://mmd.app/s/MMD-ILU-0074" TargetMode="External"/><Relationship Id="rId216" Type="http://schemas.openxmlformats.org/officeDocument/2006/relationships/hyperlink" Target="https://mmd.app/s/MMD-ILU-0073" TargetMode="External"/><Relationship Id="rId215" Type="http://schemas.openxmlformats.org/officeDocument/2006/relationships/hyperlink" Target="https://mmd.app/s/MMD-ILU-0072" TargetMode="External"/><Relationship Id="rId214" Type="http://schemas.openxmlformats.org/officeDocument/2006/relationships/hyperlink" Target="https://mmd.app/s/MMD-ILU-0071" TargetMode="External"/><Relationship Id="rId219" Type="http://schemas.openxmlformats.org/officeDocument/2006/relationships/hyperlink" Target="https://mmd.app/s/MMD-ILU-0076" TargetMode="External"/><Relationship Id="rId218" Type="http://schemas.openxmlformats.org/officeDocument/2006/relationships/hyperlink" Target="https://mmd.app/s/MMD-ILU-0075" TargetMode="External"/><Relationship Id="rId213" Type="http://schemas.openxmlformats.org/officeDocument/2006/relationships/hyperlink" Target="https://mmd.app/s/MMD-ILU-0070" TargetMode="External"/><Relationship Id="rId212" Type="http://schemas.openxmlformats.org/officeDocument/2006/relationships/hyperlink" Target="https://mmd.app/s/MMD-ILU-0069" TargetMode="External"/><Relationship Id="rId211" Type="http://schemas.openxmlformats.org/officeDocument/2006/relationships/hyperlink" Target="https://mmd.app/s/MMD-ILU-0068" TargetMode="External"/><Relationship Id="rId210" Type="http://schemas.openxmlformats.org/officeDocument/2006/relationships/hyperlink" Target="https://mmd.app/s/MMD-ILU-0067" TargetMode="External"/><Relationship Id="rId129" Type="http://schemas.openxmlformats.org/officeDocument/2006/relationships/hyperlink" Target="https://mmd.app/s/MMD-ILU-0230" TargetMode="External"/><Relationship Id="rId128" Type="http://schemas.openxmlformats.org/officeDocument/2006/relationships/hyperlink" Target="https://mmd.app/s/MMD-ILU-0229" TargetMode="External"/><Relationship Id="rId249" Type="http://schemas.openxmlformats.org/officeDocument/2006/relationships/hyperlink" Target="https://mmd.app/s/MMD-ILU-0112" TargetMode="External"/><Relationship Id="rId127" Type="http://schemas.openxmlformats.org/officeDocument/2006/relationships/hyperlink" Target="https://mmd.app/s/MMD-ILU-0228" TargetMode="External"/><Relationship Id="rId248" Type="http://schemas.openxmlformats.org/officeDocument/2006/relationships/hyperlink" Target="https://mmd.app/s/MMD-ILU-0111" TargetMode="External"/><Relationship Id="rId126" Type="http://schemas.openxmlformats.org/officeDocument/2006/relationships/hyperlink" Target="https://mmd.app/s/MMD-ILU-0227" TargetMode="External"/><Relationship Id="rId247" Type="http://schemas.openxmlformats.org/officeDocument/2006/relationships/hyperlink" Target="https://mmd.app/s/MMD-ILU-0110" TargetMode="External"/><Relationship Id="rId121" Type="http://schemas.openxmlformats.org/officeDocument/2006/relationships/hyperlink" Target="https://mmd.app/s/MMD-ILU-0222" TargetMode="External"/><Relationship Id="rId242" Type="http://schemas.openxmlformats.org/officeDocument/2006/relationships/hyperlink" Target="https://mmd.app/s/MMD-ILU-0105" TargetMode="External"/><Relationship Id="rId120" Type="http://schemas.openxmlformats.org/officeDocument/2006/relationships/hyperlink" Target="https://mmd.app/s/MMD-ILU-0221" TargetMode="External"/><Relationship Id="rId241" Type="http://schemas.openxmlformats.org/officeDocument/2006/relationships/hyperlink" Target="https://mmd.app/s/MMD-ILU-0104" TargetMode="External"/><Relationship Id="rId240" Type="http://schemas.openxmlformats.org/officeDocument/2006/relationships/hyperlink" Target="https://mmd.app/s/MMD-ILU-0103" TargetMode="External"/><Relationship Id="rId125" Type="http://schemas.openxmlformats.org/officeDocument/2006/relationships/hyperlink" Target="https://mmd.app/s/MMD-ILU-0226" TargetMode="External"/><Relationship Id="rId246" Type="http://schemas.openxmlformats.org/officeDocument/2006/relationships/hyperlink" Target="https://mmd.app/s/MMD-ILU-0109" TargetMode="External"/><Relationship Id="rId124" Type="http://schemas.openxmlformats.org/officeDocument/2006/relationships/hyperlink" Target="https://mmd.app/s/MMD-ILU-0225" TargetMode="External"/><Relationship Id="rId245" Type="http://schemas.openxmlformats.org/officeDocument/2006/relationships/hyperlink" Target="https://mmd.app/s/MMD-ILU-0108" TargetMode="External"/><Relationship Id="rId123" Type="http://schemas.openxmlformats.org/officeDocument/2006/relationships/hyperlink" Target="https://mmd.app/s/MMD-ILU-0224" TargetMode="External"/><Relationship Id="rId244" Type="http://schemas.openxmlformats.org/officeDocument/2006/relationships/hyperlink" Target="https://mmd.app/s/MMD-ILU-0107" TargetMode="External"/><Relationship Id="rId122" Type="http://schemas.openxmlformats.org/officeDocument/2006/relationships/hyperlink" Target="https://mmd.app/s/MMD-ILU-0223" TargetMode="External"/><Relationship Id="rId243" Type="http://schemas.openxmlformats.org/officeDocument/2006/relationships/hyperlink" Target="https://mmd.app/s/MMD-ILU-0106" TargetMode="External"/><Relationship Id="rId95" Type="http://schemas.openxmlformats.org/officeDocument/2006/relationships/hyperlink" Target="https://mmd.app/s/MMD-ILU-0196" TargetMode="External"/><Relationship Id="rId94" Type="http://schemas.openxmlformats.org/officeDocument/2006/relationships/hyperlink" Target="https://mmd.app/s/MMD-ILU-0195" TargetMode="External"/><Relationship Id="rId97" Type="http://schemas.openxmlformats.org/officeDocument/2006/relationships/hyperlink" Target="https://mmd.app/s/MMD-ILU-0198" TargetMode="External"/><Relationship Id="rId96" Type="http://schemas.openxmlformats.org/officeDocument/2006/relationships/hyperlink" Target="https://mmd.app/s/MMD-ILU-0197" TargetMode="External"/><Relationship Id="rId99" Type="http://schemas.openxmlformats.org/officeDocument/2006/relationships/hyperlink" Target="https://mmd.app/s/MMD-ILU-0200" TargetMode="External"/><Relationship Id="rId98" Type="http://schemas.openxmlformats.org/officeDocument/2006/relationships/hyperlink" Target="https://mmd.app/s/MMD-ILU-0199" TargetMode="External"/><Relationship Id="rId91" Type="http://schemas.openxmlformats.org/officeDocument/2006/relationships/hyperlink" Target="https://mmd.app/s/MMD-ILU-0192" TargetMode="External"/><Relationship Id="rId90" Type="http://schemas.openxmlformats.org/officeDocument/2006/relationships/hyperlink" Target="https://mmd.app/s/MMD-ILU-0191" TargetMode="External"/><Relationship Id="rId93" Type="http://schemas.openxmlformats.org/officeDocument/2006/relationships/hyperlink" Target="https://mmd.app/s/MMD-ILU-0194" TargetMode="External"/><Relationship Id="rId92" Type="http://schemas.openxmlformats.org/officeDocument/2006/relationships/hyperlink" Target="https://mmd.app/s/MMD-ILU-0193" TargetMode="External"/><Relationship Id="rId118" Type="http://schemas.openxmlformats.org/officeDocument/2006/relationships/hyperlink" Target="https://mmd.app/s/MMD-ILU-0219" TargetMode="External"/><Relationship Id="rId239" Type="http://schemas.openxmlformats.org/officeDocument/2006/relationships/hyperlink" Target="https://mmd.app/s/MMD-ILU-0102" TargetMode="External"/><Relationship Id="rId117" Type="http://schemas.openxmlformats.org/officeDocument/2006/relationships/hyperlink" Target="https://mmd.app/s/MMD-ILU-0218" TargetMode="External"/><Relationship Id="rId238" Type="http://schemas.openxmlformats.org/officeDocument/2006/relationships/hyperlink" Target="https://mmd.app/s/MMD-ILU-0101" TargetMode="External"/><Relationship Id="rId116" Type="http://schemas.openxmlformats.org/officeDocument/2006/relationships/hyperlink" Target="https://mmd.app/s/MMD-ILU-0217" TargetMode="External"/><Relationship Id="rId237" Type="http://schemas.openxmlformats.org/officeDocument/2006/relationships/hyperlink" Target="https://mmd.app/s/MMD-ILU-0100" TargetMode="External"/><Relationship Id="rId115" Type="http://schemas.openxmlformats.org/officeDocument/2006/relationships/hyperlink" Target="https://mmd.app/s/MMD-ILU-0216" TargetMode="External"/><Relationship Id="rId236" Type="http://schemas.openxmlformats.org/officeDocument/2006/relationships/hyperlink" Target="https://mmd.app/s/MMD-ILU-0099" TargetMode="External"/><Relationship Id="rId119" Type="http://schemas.openxmlformats.org/officeDocument/2006/relationships/hyperlink" Target="https://mmd.app/s/MMD-ILU-0220" TargetMode="External"/><Relationship Id="rId110" Type="http://schemas.openxmlformats.org/officeDocument/2006/relationships/hyperlink" Target="https://mmd.app/s/MMD-ILU-0211" TargetMode="External"/><Relationship Id="rId231" Type="http://schemas.openxmlformats.org/officeDocument/2006/relationships/hyperlink" Target="https://mmd.app/s/MMD-ILU-0094" TargetMode="External"/><Relationship Id="rId230" Type="http://schemas.openxmlformats.org/officeDocument/2006/relationships/hyperlink" Target="https://mmd.app/s/MMD-ILU-0093" TargetMode="External"/><Relationship Id="rId114" Type="http://schemas.openxmlformats.org/officeDocument/2006/relationships/hyperlink" Target="https://mmd.app/s/MMD-ILU-0215" TargetMode="External"/><Relationship Id="rId235" Type="http://schemas.openxmlformats.org/officeDocument/2006/relationships/hyperlink" Target="https://mmd.app/s/MMD-ILU-0098" TargetMode="External"/><Relationship Id="rId113" Type="http://schemas.openxmlformats.org/officeDocument/2006/relationships/hyperlink" Target="https://mmd.app/s/MMD-ILU-0214" TargetMode="External"/><Relationship Id="rId234" Type="http://schemas.openxmlformats.org/officeDocument/2006/relationships/hyperlink" Target="https://mmd.app/s/MMD-ILU-0097" TargetMode="External"/><Relationship Id="rId112" Type="http://schemas.openxmlformats.org/officeDocument/2006/relationships/hyperlink" Target="https://mmd.app/s/MMD-ILU-0213" TargetMode="External"/><Relationship Id="rId233" Type="http://schemas.openxmlformats.org/officeDocument/2006/relationships/hyperlink" Target="https://mmd.app/s/MMD-ILU-0096" TargetMode="External"/><Relationship Id="rId111" Type="http://schemas.openxmlformats.org/officeDocument/2006/relationships/hyperlink" Target="https://mmd.app/s/MMD-ILU-0212" TargetMode="External"/><Relationship Id="rId232" Type="http://schemas.openxmlformats.org/officeDocument/2006/relationships/hyperlink" Target="https://mmd.app/s/MMD-ILU-0095" TargetMode="External"/><Relationship Id="rId206" Type="http://schemas.openxmlformats.org/officeDocument/2006/relationships/hyperlink" Target="https://mmd.app/s/MMD-ILU-0053" TargetMode="External"/><Relationship Id="rId205" Type="http://schemas.openxmlformats.org/officeDocument/2006/relationships/hyperlink" Target="https://mmd.app/s/MMD-ILU-0052" TargetMode="External"/><Relationship Id="rId204" Type="http://schemas.openxmlformats.org/officeDocument/2006/relationships/hyperlink" Target="https://mmd.app/s/MMD-ILU-0051" TargetMode="External"/><Relationship Id="rId203" Type="http://schemas.openxmlformats.org/officeDocument/2006/relationships/hyperlink" Target="https://mmd.app/s/MMD-ILU-0049" TargetMode="External"/><Relationship Id="rId209" Type="http://schemas.openxmlformats.org/officeDocument/2006/relationships/hyperlink" Target="https://mmd.app/s/MMD-ILU-0056" TargetMode="External"/><Relationship Id="rId208" Type="http://schemas.openxmlformats.org/officeDocument/2006/relationships/hyperlink" Target="https://mmd.app/s/MMD-ILU-0055" TargetMode="External"/><Relationship Id="rId207" Type="http://schemas.openxmlformats.org/officeDocument/2006/relationships/hyperlink" Target="https://mmd.app/s/MMD-ILU-0054" TargetMode="External"/><Relationship Id="rId202" Type="http://schemas.openxmlformats.org/officeDocument/2006/relationships/hyperlink" Target="https://mmd.app/s/MMD-ILU-0048" TargetMode="External"/><Relationship Id="rId201" Type="http://schemas.openxmlformats.org/officeDocument/2006/relationships/hyperlink" Target="https://mmd.app/s/MMD-ILU-0047" TargetMode="External"/><Relationship Id="rId200" Type="http://schemas.openxmlformats.org/officeDocument/2006/relationships/hyperlink" Target="https://mmd.app/s/MMD-ILU-0046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mmd.app/s/MMD-AUD-0042" TargetMode="External"/><Relationship Id="rId42" Type="http://schemas.openxmlformats.org/officeDocument/2006/relationships/hyperlink" Target="https://mmd.app/s/MMD-AUD-0044" TargetMode="External"/><Relationship Id="rId41" Type="http://schemas.openxmlformats.org/officeDocument/2006/relationships/hyperlink" Target="https://mmd.app/s/MMD-AUD-0043" TargetMode="External"/><Relationship Id="rId44" Type="http://schemas.openxmlformats.org/officeDocument/2006/relationships/hyperlink" Target="https://mmd.app/s/MMD-AUD-0046" TargetMode="External"/><Relationship Id="rId43" Type="http://schemas.openxmlformats.org/officeDocument/2006/relationships/hyperlink" Target="https://mmd.app/s/MMD-AUD-0045" TargetMode="External"/><Relationship Id="rId46" Type="http://schemas.openxmlformats.org/officeDocument/2006/relationships/hyperlink" Target="https://mmd.app/s/MMD-AUD-0049" TargetMode="External"/><Relationship Id="rId45" Type="http://schemas.openxmlformats.org/officeDocument/2006/relationships/hyperlink" Target="https://mmd.app/s/MMD-AUD-0047" TargetMode="External"/><Relationship Id="rId48" Type="http://schemas.openxmlformats.org/officeDocument/2006/relationships/hyperlink" Target="https://mmd.app/s/MMD-AUD-0051" TargetMode="External"/><Relationship Id="rId47" Type="http://schemas.openxmlformats.org/officeDocument/2006/relationships/hyperlink" Target="https://mmd.app/s/MMD-AUD-0050" TargetMode="External"/><Relationship Id="rId49" Type="http://schemas.openxmlformats.org/officeDocument/2006/relationships/hyperlink" Target="https://mmd.app/s/MMD-AUD-0052" TargetMode="External"/><Relationship Id="rId31" Type="http://schemas.openxmlformats.org/officeDocument/2006/relationships/hyperlink" Target="https://mmd.app/s/MMD-AUD-0031" TargetMode="External"/><Relationship Id="rId30" Type="http://schemas.openxmlformats.org/officeDocument/2006/relationships/hyperlink" Target="https://mmd.app/s/MMD-AUD-0030" TargetMode="External"/><Relationship Id="rId33" Type="http://schemas.openxmlformats.org/officeDocument/2006/relationships/hyperlink" Target="https://mmd.app/s/MMD-AUD-0033" TargetMode="External"/><Relationship Id="rId32" Type="http://schemas.openxmlformats.org/officeDocument/2006/relationships/hyperlink" Target="https://mmd.app/s/MMD-AUD-0032" TargetMode="External"/><Relationship Id="rId35" Type="http://schemas.openxmlformats.org/officeDocument/2006/relationships/hyperlink" Target="https://mmd.app/s/MMD-AUD-0038" TargetMode="External"/><Relationship Id="rId34" Type="http://schemas.openxmlformats.org/officeDocument/2006/relationships/hyperlink" Target="https://mmd.app/s/MMD-AUD-0036" TargetMode="External"/><Relationship Id="rId37" Type="http://schemas.openxmlformats.org/officeDocument/2006/relationships/hyperlink" Target="https://mmd.app/s/MMD-AUD-0040" TargetMode="External"/><Relationship Id="rId36" Type="http://schemas.openxmlformats.org/officeDocument/2006/relationships/hyperlink" Target="https://mmd.app/s/MMD-AUD-0039" TargetMode="External"/><Relationship Id="rId39" Type="http://schemas.openxmlformats.org/officeDocument/2006/relationships/hyperlink" Target="https://mmd.app/s/MMD-AUD-0041" TargetMode="External"/><Relationship Id="rId38" Type="http://schemas.openxmlformats.org/officeDocument/2006/relationships/hyperlink" Target="https://mmd.app/s/MMD-AUD-0133" TargetMode="External"/><Relationship Id="rId20" Type="http://schemas.openxmlformats.org/officeDocument/2006/relationships/hyperlink" Target="https://mmd.app/s/MMD-AUD-0020" TargetMode="External"/><Relationship Id="rId22" Type="http://schemas.openxmlformats.org/officeDocument/2006/relationships/hyperlink" Target="https://mmd.app/s/MMD-AUD-0022" TargetMode="External"/><Relationship Id="rId21" Type="http://schemas.openxmlformats.org/officeDocument/2006/relationships/hyperlink" Target="https://mmd.app/s/MMD-AUD-0021" TargetMode="External"/><Relationship Id="rId24" Type="http://schemas.openxmlformats.org/officeDocument/2006/relationships/hyperlink" Target="https://mmd.app/s/MMD-AUD-0024" TargetMode="External"/><Relationship Id="rId23" Type="http://schemas.openxmlformats.org/officeDocument/2006/relationships/hyperlink" Target="https://mmd.app/s/MMD-AUD-0023" TargetMode="External"/><Relationship Id="rId26" Type="http://schemas.openxmlformats.org/officeDocument/2006/relationships/hyperlink" Target="https://mmd.app/s/MMD-AUD-0026" TargetMode="External"/><Relationship Id="rId25" Type="http://schemas.openxmlformats.org/officeDocument/2006/relationships/hyperlink" Target="https://mmd.app/s/MMD-AUD-0025" TargetMode="External"/><Relationship Id="rId28" Type="http://schemas.openxmlformats.org/officeDocument/2006/relationships/hyperlink" Target="https://mmd.app/s/MMD-AUD-0028" TargetMode="External"/><Relationship Id="rId27" Type="http://schemas.openxmlformats.org/officeDocument/2006/relationships/hyperlink" Target="https://mmd.app/s/MMD-AUD-0027" TargetMode="External"/><Relationship Id="rId29" Type="http://schemas.openxmlformats.org/officeDocument/2006/relationships/hyperlink" Target="https://mmd.app/s/MMD-AUD-0029" TargetMode="External"/><Relationship Id="rId11" Type="http://schemas.openxmlformats.org/officeDocument/2006/relationships/hyperlink" Target="https://mmd.app/s/MMD-AUD-0011" TargetMode="External"/><Relationship Id="rId10" Type="http://schemas.openxmlformats.org/officeDocument/2006/relationships/hyperlink" Target="https://mmd.app/s/MMD-AUD-0010" TargetMode="External"/><Relationship Id="rId13" Type="http://schemas.openxmlformats.org/officeDocument/2006/relationships/hyperlink" Target="https://mmd.app/s/MMD-AUD-0013" TargetMode="External"/><Relationship Id="rId12" Type="http://schemas.openxmlformats.org/officeDocument/2006/relationships/hyperlink" Target="https://mmd.app/s/MMD-AUD-0012" TargetMode="External"/><Relationship Id="rId15" Type="http://schemas.openxmlformats.org/officeDocument/2006/relationships/hyperlink" Target="https://mmd.app/s/MMD-AUD-0015" TargetMode="External"/><Relationship Id="rId14" Type="http://schemas.openxmlformats.org/officeDocument/2006/relationships/hyperlink" Target="https://mmd.app/s/MMD-AUD-0014" TargetMode="External"/><Relationship Id="rId17" Type="http://schemas.openxmlformats.org/officeDocument/2006/relationships/hyperlink" Target="https://mmd.app/s/MMD-AUD-0018" TargetMode="External"/><Relationship Id="rId16" Type="http://schemas.openxmlformats.org/officeDocument/2006/relationships/hyperlink" Target="https://mmd.app/s/MMD-AUD-0016" TargetMode="External"/><Relationship Id="rId19" Type="http://schemas.openxmlformats.org/officeDocument/2006/relationships/hyperlink" Target="https://mmd.app/s/MMD-AUD-0017" TargetMode="External"/><Relationship Id="rId18" Type="http://schemas.openxmlformats.org/officeDocument/2006/relationships/hyperlink" Target="https://mmd.app/s/MMD-AUD-0019" TargetMode="External"/><Relationship Id="rId84" Type="http://schemas.openxmlformats.org/officeDocument/2006/relationships/hyperlink" Target="https://mmd.app/s/MMD-AUD-0086" TargetMode="External"/><Relationship Id="rId83" Type="http://schemas.openxmlformats.org/officeDocument/2006/relationships/hyperlink" Target="https://mmd.app/s/MMD-AUD-0085" TargetMode="External"/><Relationship Id="rId86" Type="http://schemas.openxmlformats.org/officeDocument/2006/relationships/hyperlink" Target="https://mmd.app/s/MMD-AUD-0088" TargetMode="External"/><Relationship Id="rId85" Type="http://schemas.openxmlformats.org/officeDocument/2006/relationships/hyperlink" Target="https://mmd.app/s/MMD-AUD-0087" TargetMode="External"/><Relationship Id="rId88" Type="http://schemas.openxmlformats.org/officeDocument/2006/relationships/hyperlink" Target="https://mmd.app/s/MMD-AUD-0090" TargetMode="External"/><Relationship Id="rId87" Type="http://schemas.openxmlformats.org/officeDocument/2006/relationships/hyperlink" Target="https://mmd.app/s/MMD-AUD-0089" TargetMode="External"/><Relationship Id="rId89" Type="http://schemas.openxmlformats.org/officeDocument/2006/relationships/hyperlink" Target="https://mmd.app/s/MMD-AUD-0091" TargetMode="External"/><Relationship Id="rId80" Type="http://schemas.openxmlformats.org/officeDocument/2006/relationships/hyperlink" Target="https://mmd.app/s/MMD-AUD-0082" TargetMode="External"/><Relationship Id="rId82" Type="http://schemas.openxmlformats.org/officeDocument/2006/relationships/hyperlink" Target="https://mmd.app/s/MMD-AUD-0084" TargetMode="External"/><Relationship Id="rId81" Type="http://schemas.openxmlformats.org/officeDocument/2006/relationships/hyperlink" Target="https://mmd.app/s/MMD-AUD-0083" TargetMode="External"/><Relationship Id="rId1" Type="http://schemas.openxmlformats.org/officeDocument/2006/relationships/comments" Target="../comments2.xml"/><Relationship Id="rId2" Type="http://schemas.openxmlformats.org/officeDocument/2006/relationships/hyperlink" Target="https://mmd.app/s/MMD-AUD-0001" TargetMode="External"/><Relationship Id="rId3" Type="http://schemas.openxmlformats.org/officeDocument/2006/relationships/hyperlink" Target="https://mmd.app/s/MMD-AUD-0002" TargetMode="External"/><Relationship Id="rId4" Type="http://schemas.openxmlformats.org/officeDocument/2006/relationships/hyperlink" Target="https://mmd.app/s/MMD-AUD-0003" TargetMode="External"/><Relationship Id="rId9" Type="http://schemas.openxmlformats.org/officeDocument/2006/relationships/hyperlink" Target="https://mmd.app/s/MMD-AUD-0009" TargetMode="External"/><Relationship Id="rId5" Type="http://schemas.openxmlformats.org/officeDocument/2006/relationships/hyperlink" Target="https://mmd.app/s/MMD-AUD-0005" TargetMode="External"/><Relationship Id="rId6" Type="http://schemas.openxmlformats.org/officeDocument/2006/relationships/hyperlink" Target="https://mmd.app/s/MMD-AUD-0006" TargetMode="External"/><Relationship Id="rId7" Type="http://schemas.openxmlformats.org/officeDocument/2006/relationships/hyperlink" Target="https://mmd.app/s/MMD-AUD-0007" TargetMode="External"/><Relationship Id="rId8" Type="http://schemas.openxmlformats.org/officeDocument/2006/relationships/hyperlink" Target="https://mmd.app/s/MMD-AUD-0008" TargetMode="External"/><Relationship Id="rId73" Type="http://schemas.openxmlformats.org/officeDocument/2006/relationships/hyperlink" Target="https://mmd.app/s/MMD-AUD-0076" TargetMode="External"/><Relationship Id="rId72" Type="http://schemas.openxmlformats.org/officeDocument/2006/relationships/hyperlink" Target="https://mmd.app/s/MMD-AUD-0075" TargetMode="External"/><Relationship Id="rId75" Type="http://schemas.openxmlformats.org/officeDocument/2006/relationships/hyperlink" Target="https://mmd.app/s/MMD-AUD-0078" TargetMode="External"/><Relationship Id="rId74" Type="http://schemas.openxmlformats.org/officeDocument/2006/relationships/hyperlink" Target="https://mmd.app/s/MMD-AUD-0077" TargetMode="External"/><Relationship Id="rId77" Type="http://schemas.openxmlformats.org/officeDocument/2006/relationships/hyperlink" Target="https://mmd.app/s/MMD-AUD-0079" TargetMode="External"/><Relationship Id="rId76" Type="http://schemas.openxmlformats.org/officeDocument/2006/relationships/hyperlink" Target="https://mmd.app/s/MMD-AUD-0098" TargetMode="External"/><Relationship Id="rId79" Type="http://schemas.openxmlformats.org/officeDocument/2006/relationships/hyperlink" Target="https://mmd.app/s/MMD-AUD-0081" TargetMode="External"/><Relationship Id="rId78" Type="http://schemas.openxmlformats.org/officeDocument/2006/relationships/hyperlink" Target="https://mmd.app/s/MMD-AUD-0080" TargetMode="External"/><Relationship Id="rId71" Type="http://schemas.openxmlformats.org/officeDocument/2006/relationships/hyperlink" Target="https://mmd.app/s/MMD-AUD-0074" TargetMode="External"/><Relationship Id="rId70" Type="http://schemas.openxmlformats.org/officeDocument/2006/relationships/hyperlink" Target="https://mmd.app/s/MMD-AUD-0073" TargetMode="External"/><Relationship Id="rId62" Type="http://schemas.openxmlformats.org/officeDocument/2006/relationships/hyperlink" Target="https://mmd.app/s/MMD-AUD-0065" TargetMode="External"/><Relationship Id="rId61" Type="http://schemas.openxmlformats.org/officeDocument/2006/relationships/hyperlink" Target="https://mmd.app/s/MMD-AUD-0064" TargetMode="External"/><Relationship Id="rId64" Type="http://schemas.openxmlformats.org/officeDocument/2006/relationships/hyperlink" Target="https://mmd.app/s/MMD-AUD-0067" TargetMode="External"/><Relationship Id="rId63" Type="http://schemas.openxmlformats.org/officeDocument/2006/relationships/hyperlink" Target="https://mmd.app/s/MMD-AUD-0066" TargetMode="External"/><Relationship Id="rId66" Type="http://schemas.openxmlformats.org/officeDocument/2006/relationships/hyperlink" Target="https://mmd.app/s/MMD-AUD-0069" TargetMode="External"/><Relationship Id="rId65" Type="http://schemas.openxmlformats.org/officeDocument/2006/relationships/hyperlink" Target="https://mmd.app/s/MMD-AUD-0068" TargetMode="External"/><Relationship Id="rId68" Type="http://schemas.openxmlformats.org/officeDocument/2006/relationships/hyperlink" Target="https://mmd.app/s/MMD-AUD-0071" TargetMode="External"/><Relationship Id="rId67" Type="http://schemas.openxmlformats.org/officeDocument/2006/relationships/hyperlink" Target="https://mmd.app/s/MMD-AUD-0070" TargetMode="External"/><Relationship Id="rId60" Type="http://schemas.openxmlformats.org/officeDocument/2006/relationships/hyperlink" Target="https://mmd.app/s/MMD-AUD-0063" TargetMode="External"/><Relationship Id="rId69" Type="http://schemas.openxmlformats.org/officeDocument/2006/relationships/hyperlink" Target="https://mmd.app/s/MMD-AUD-0072" TargetMode="External"/><Relationship Id="rId51" Type="http://schemas.openxmlformats.org/officeDocument/2006/relationships/hyperlink" Target="https://mmd.app/s/MMD-AUD-0054" TargetMode="External"/><Relationship Id="rId50" Type="http://schemas.openxmlformats.org/officeDocument/2006/relationships/hyperlink" Target="https://mmd.app/s/MMD-AUD-0053" TargetMode="External"/><Relationship Id="rId53" Type="http://schemas.openxmlformats.org/officeDocument/2006/relationships/hyperlink" Target="https://mmd.app/s/MMD-AUD-0056" TargetMode="External"/><Relationship Id="rId52" Type="http://schemas.openxmlformats.org/officeDocument/2006/relationships/hyperlink" Target="https://mmd.app/s/MMD-AUD-0055" TargetMode="External"/><Relationship Id="rId55" Type="http://schemas.openxmlformats.org/officeDocument/2006/relationships/hyperlink" Target="https://mmd.app/s/MMD-AUD-0058" TargetMode="External"/><Relationship Id="rId54" Type="http://schemas.openxmlformats.org/officeDocument/2006/relationships/hyperlink" Target="https://mmd.app/s/MMD-AUD-0057" TargetMode="External"/><Relationship Id="rId57" Type="http://schemas.openxmlformats.org/officeDocument/2006/relationships/hyperlink" Target="https://mmd.app/s/MMD-AUD-0060" TargetMode="External"/><Relationship Id="rId56" Type="http://schemas.openxmlformats.org/officeDocument/2006/relationships/hyperlink" Target="https://mmd.app/s/MMD-AUD-0059" TargetMode="External"/><Relationship Id="rId59" Type="http://schemas.openxmlformats.org/officeDocument/2006/relationships/hyperlink" Target="https://mmd.app/s/MMD-AUD-0062" TargetMode="External"/><Relationship Id="rId58" Type="http://schemas.openxmlformats.org/officeDocument/2006/relationships/hyperlink" Target="https://mmd.app/s/MMD-AUD-0061" TargetMode="External"/><Relationship Id="rId107" Type="http://schemas.openxmlformats.org/officeDocument/2006/relationships/hyperlink" Target="https://mmd.app/s/MMD-AUD-0111" TargetMode="External"/><Relationship Id="rId106" Type="http://schemas.openxmlformats.org/officeDocument/2006/relationships/hyperlink" Target="https://mmd.app/s/MMD-AUD-0110" TargetMode="External"/><Relationship Id="rId105" Type="http://schemas.openxmlformats.org/officeDocument/2006/relationships/hyperlink" Target="https://mmd.app/s/MMD-AUD-0109" TargetMode="External"/><Relationship Id="rId104" Type="http://schemas.openxmlformats.org/officeDocument/2006/relationships/hyperlink" Target="https://mmd.app/s/MMD-AUD-0108" TargetMode="External"/><Relationship Id="rId109" Type="http://schemas.openxmlformats.org/officeDocument/2006/relationships/hyperlink" Target="https://mmd.app/s/MMD-AUD-0113" TargetMode="External"/><Relationship Id="rId108" Type="http://schemas.openxmlformats.org/officeDocument/2006/relationships/hyperlink" Target="https://mmd.app/s/MMD-AUD-0112" TargetMode="External"/><Relationship Id="rId103" Type="http://schemas.openxmlformats.org/officeDocument/2006/relationships/hyperlink" Target="https://mmd.app/s/MMD-AUD-0107" TargetMode="External"/><Relationship Id="rId102" Type="http://schemas.openxmlformats.org/officeDocument/2006/relationships/hyperlink" Target="https://mmd.app/s/MMD-AUD-0106" TargetMode="External"/><Relationship Id="rId101" Type="http://schemas.openxmlformats.org/officeDocument/2006/relationships/hyperlink" Target="https://mmd.app/s/MMD-AUD-0105" TargetMode="External"/><Relationship Id="rId100" Type="http://schemas.openxmlformats.org/officeDocument/2006/relationships/hyperlink" Target="https://mmd.app/s/MMD-AUD-0104" TargetMode="External"/><Relationship Id="rId128" Type="http://schemas.openxmlformats.org/officeDocument/2006/relationships/vmlDrawing" Target="../drawings/vmlDrawing2.vml"/><Relationship Id="rId127" Type="http://schemas.openxmlformats.org/officeDocument/2006/relationships/drawing" Target="../drawings/drawing4.xml"/><Relationship Id="rId126" Type="http://schemas.openxmlformats.org/officeDocument/2006/relationships/hyperlink" Target="https://mmd.app/s/MMD-AUD-0130" TargetMode="External"/><Relationship Id="rId121" Type="http://schemas.openxmlformats.org/officeDocument/2006/relationships/hyperlink" Target="https://mmd.app/s/MMD-AUD-0125" TargetMode="External"/><Relationship Id="rId120" Type="http://schemas.openxmlformats.org/officeDocument/2006/relationships/hyperlink" Target="https://mmd.app/s/MMD-AUD-0124" TargetMode="External"/><Relationship Id="rId125" Type="http://schemas.openxmlformats.org/officeDocument/2006/relationships/hyperlink" Target="https://mmd.app/s/MMD-AUD-0129" TargetMode="External"/><Relationship Id="rId124" Type="http://schemas.openxmlformats.org/officeDocument/2006/relationships/hyperlink" Target="https://mmd.app/s/MMD-AUD-0128" TargetMode="External"/><Relationship Id="rId123" Type="http://schemas.openxmlformats.org/officeDocument/2006/relationships/hyperlink" Target="https://mmd.app/s/MMD-AUD-0127" TargetMode="External"/><Relationship Id="rId122" Type="http://schemas.openxmlformats.org/officeDocument/2006/relationships/hyperlink" Target="https://mmd.app/s/MMD-AUD-0126" TargetMode="External"/><Relationship Id="rId95" Type="http://schemas.openxmlformats.org/officeDocument/2006/relationships/hyperlink" Target="https://mmd.app/s/MMD-AUD-0097" TargetMode="External"/><Relationship Id="rId94" Type="http://schemas.openxmlformats.org/officeDocument/2006/relationships/hyperlink" Target="https://mmd.app/s/MMD-AUD-0096" TargetMode="External"/><Relationship Id="rId97" Type="http://schemas.openxmlformats.org/officeDocument/2006/relationships/hyperlink" Target="https://mmd.app/s/MMD-AUD-0101" TargetMode="External"/><Relationship Id="rId96" Type="http://schemas.openxmlformats.org/officeDocument/2006/relationships/hyperlink" Target="https://mmd.app/s/MMD-AUD-0099" TargetMode="External"/><Relationship Id="rId99" Type="http://schemas.openxmlformats.org/officeDocument/2006/relationships/hyperlink" Target="https://mmd.app/s/MMD-AUD-0103" TargetMode="External"/><Relationship Id="rId98" Type="http://schemas.openxmlformats.org/officeDocument/2006/relationships/hyperlink" Target="https://mmd.app/s/MMD-AUD-0102" TargetMode="External"/><Relationship Id="rId91" Type="http://schemas.openxmlformats.org/officeDocument/2006/relationships/hyperlink" Target="https://mmd.app/s/MMD-AUD-0093" TargetMode="External"/><Relationship Id="rId90" Type="http://schemas.openxmlformats.org/officeDocument/2006/relationships/hyperlink" Target="https://mmd.app/s/MMD-AUD-0092" TargetMode="External"/><Relationship Id="rId93" Type="http://schemas.openxmlformats.org/officeDocument/2006/relationships/hyperlink" Target="https://mmd.app/s/MMD-AUD-0095" TargetMode="External"/><Relationship Id="rId92" Type="http://schemas.openxmlformats.org/officeDocument/2006/relationships/hyperlink" Target="https://mmd.app/s/MMD-AUD-0094" TargetMode="External"/><Relationship Id="rId118" Type="http://schemas.openxmlformats.org/officeDocument/2006/relationships/hyperlink" Target="https://mmd.app/s/MMD-AUD-0122" TargetMode="External"/><Relationship Id="rId117" Type="http://schemas.openxmlformats.org/officeDocument/2006/relationships/hyperlink" Target="https://mmd.app/s/MMD-AUD-0121" TargetMode="External"/><Relationship Id="rId116" Type="http://schemas.openxmlformats.org/officeDocument/2006/relationships/hyperlink" Target="https://mmd.app/s/MMD-AUD-0120" TargetMode="External"/><Relationship Id="rId115" Type="http://schemas.openxmlformats.org/officeDocument/2006/relationships/hyperlink" Target="https://mmd.app/s/MMD-AUD-0119" TargetMode="External"/><Relationship Id="rId119" Type="http://schemas.openxmlformats.org/officeDocument/2006/relationships/hyperlink" Target="https://mmd.app/s/MMD-AUD-0123" TargetMode="External"/><Relationship Id="rId110" Type="http://schemas.openxmlformats.org/officeDocument/2006/relationships/hyperlink" Target="https://mmd.app/s/MMD-AUD-0114" TargetMode="External"/><Relationship Id="rId114" Type="http://schemas.openxmlformats.org/officeDocument/2006/relationships/hyperlink" Target="https://mmd.app/s/MMD-AUD-0118" TargetMode="External"/><Relationship Id="rId113" Type="http://schemas.openxmlformats.org/officeDocument/2006/relationships/hyperlink" Target="https://mmd.app/s/MMD-AUD-0117" TargetMode="External"/><Relationship Id="rId112" Type="http://schemas.openxmlformats.org/officeDocument/2006/relationships/hyperlink" Target="https://mmd.app/s/MMD-AUD-0116" TargetMode="External"/><Relationship Id="rId111" Type="http://schemas.openxmlformats.org/officeDocument/2006/relationships/hyperlink" Target="https://mmd.app/s/MMD-AUD-0115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mmd.app/s/MMD-ENE-0019" TargetMode="External"/><Relationship Id="rId22" Type="http://schemas.openxmlformats.org/officeDocument/2006/relationships/hyperlink" Target="https://mmd.app/s/MMD-ENE-0021" TargetMode="External"/><Relationship Id="rId21" Type="http://schemas.openxmlformats.org/officeDocument/2006/relationships/hyperlink" Target="https://mmd.app/s/MMD-ENE-0020" TargetMode="External"/><Relationship Id="rId24" Type="http://schemas.openxmlformats.org/officeDocument/2006/relationships/hyperlink" Target="https://mmd.app/s/MMD-ENE-0023" TargetMode="External"/><Relationship Id="rId23" Type="http://schemas.openxmlformats.org/officeDocument/2006/relationships/hyperlink" Target="https://mmd.app/s/MMD-ENE-0022" TargetMode="External"/><Relationship Id="rId26" Type="http://schemas.openxmlformats.org/officeDocument/2006/relationships/hyperlink" Target="https://mmd.app/s/MMD-ENE-0025" TargetMode="External"/><Relationship Id="rId25" Type="http://schemas.openxmlformats.org/officeDocument/2006/relationships/hyperlink" Target="https://mmd.app/s/MMD-ENE-0024" TargetMode="External"/><Relationship Id="rId28" Type="http://schemas.openxmlformats.org/officeDocument/2006/relationships/drawing" Target="../drawings/drawing5.xml"/><Relationship Id="rId27" Type="http://schemas.openxmlformats.org/officeDocument/2006/relationships/hyperlink" Target="https://mmd.app/s/MMD-ENE-0026" TargetMode="External"/><Relationship Id="rId11" Type="http://schemas.openxmlformats.org/officeDocument/2006/relationships/hyperlink" Target="https://mmd.app/s/MMD-ENE-0010" TargetMode="External"/><Relationship Id="rId10" Type="http://schemas.openxmlformats.org/officeDocument/2006/relationships/hyperlink" Target="https://mmd.app/s/MMD-ENE-0009" TargetMode="External"/><Relationship Id="rId13" Type="http://schemas.openxmlformats.org/officeDocument/2006/relationships/hyperlink" Target="https://mmd.app/s/MMD-ENE-0012" TargetMode="External"/><Relationship Id="rId12" Type="http://schemas.openxmlformats.org/officeDocument/2006/relationships/hyperlink" Target="https://mmd.app/s/MMD-ENE-0011" TargetMode="External"/><Relationship Id="rId15" Type="http://schemas.openxmlformats.org/officeDocument/2006/relationships/hyperlink" Target="https://mmd.app/s/MMD-ENE-0014" TargetMode="External"/><Relationship Id="rId14" Type="http://schemas.openxmlformats.org/officeDocument/2006/relationships/hyperlink" Target="https://mmd.app/s/MMD-ENE-0013" TargetMode="External"/><Relationship Id="rId17" Type="http://schemas.openxmlformats.org/officeDocument/2006/relationships/hyperlink" Target="https://mmd.app/s/MMD-ENE-0016" TargetMode="External"/><Relationship Id="rId16" Type="http://schemas.openxmlformats.org/officeDocument/2006/relationships/hyperlink" Target="https://mmd.app/s/MMD-ENE-0015" TargetMode="External"/><Relationship Id="rId19" Type="http://schemas.openxmlformats.org/officeDocument/2006/relationships/hyperlink" Target="https://mmd.app/s/MMD-ENE-0018" TargetMode="External"/><Relationship Id="rId18" Type="http://schemas.openxmlformats.org/officeDocument/2006/relationships/hyperlink" Target="https://mmd.app/s/MMD-ENE-0017" TargetMode="External"/><Relationship Id="rId1" Type="http://schemas.openxmlformats.org/officeDocument/2006/relationships/hyperlink" Target="https://mmd.app/s/MMD-ENE-0006" TargetMode="External"/><Relationship Id="rId2" Type="http://schemas.openxmlformats.org/officeDocument/2006/relationships/hyperlink" Target="https://mmd.app/s/MMD-ENE-0001" TargetMode="External"/><Relationship Id="rId3" Type="http://schemas.openxmlformats.org/officeDocument/2006/relationships/hyperlink" Target="https://mmd.app/s/MMD-ENE-0002" TargetMode="External"/><Relationship Id="rId4" Type="http://schemas.openxmlformats.org/officeDocument/2006/relationships/hyperlink" Target="https://mmd.app/s/MMD-ENE-0003" TargetMode="External"/><Relationship Id="rId9" Type="http://schemas.openxmlformats.org/officeDocument/2006/relationships/hyperlink" Target="https://mmd.app/s/MMD-ENE-0008" TargetMode="External"/><Relationship Id="rId5" Type="http://schemas.openxmlformats.org/officeDocument/2006/relationships/hyperlink" Target="https://mmd.app/s/MMD-ENE-0004" TargetMode="External"/><Relationship Id="rId6" Type="http://schemas.openxmlformats.org/officeDocument/2006/relationships/hyperlink" Target="https://mmd.app/s/MMD-ENE-0005" TargetMode="External"/><Relationship Id="rId7" Type="http://schemas.openxmlformats.org/officeDocument/2006/relationships/hyperlink" Target="https://mmd.app/s/MMD-ENE-0027" TargetMode="External"/><Relationship Id="rId8" Type="http://schemas.openxmlformats.org/officeDocument/2006/relationships/hyperlink" Target="https://mmd.app/s/MMD-ENE-0007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mmd.app/s/MMD-EST-0027" TargetMode="External"/><Relationship Id="rId42" Type="http://schemas.openxmlformats.org/officeDocument/2006/relationships/hyperlink" Target="https://mmd.app/s/MMD-EST-0029" TargetMode="External"/><Relationship Id="rId41" Type="http://schemas.openxmlformats.org/officeDocument/2006/relationships/hyperlink" Target="https://mmd.app/s/MMD-EST-0028" TargetMode="External"/><Relationship Id="rId44" Type="http://schemas.openxmlformats.org/officeDocument/2006/relationships/drawing" Target="../drawings/drawing6.xml"/><Relationship Id="rId43" Type="http://schemas.openxmlformats.org/officeDocument/2006/relationships/hyperlink" Target="https://mmd.app/s/MMD-EST-0030" TargetMode="External"/><Relationship Id="rId31" Type="http://schemas.openxmlformats.org/officeDocument/2006/relationships/hyperlink" Target="https://mmd.app/s/MMD-EST-0018" TargetMode="External"/><Relationship Id="rId30" Type="http://schemas.openxmlformats.org/officeDocument/2006/relationships/hyperlink" Target="https://mmd.app/s/MMD-EST-0017" TargetMode="External"/><Relationship Id="rId33" Type="http://schemas.openxmlformats.org/officeDocument/2006/relationships/hyperlink" Target="https://mmd.app/s/MMD-EST-0020" TargetMode="External"/><Relationship Id="rId32" Type="http://schemas.openxmlformats.org/officeDocument/2006/relationships/hyperlink" Target="https://mmd.app/s/MMD-EST-0019" TargetMode="External"/><Relationship Id="rId35" Type="http://schemas.openxmlformats.org/officeDocument/2006/relationships/hyperlink" Target="https://mmd.app/s/MMD-EST-0022" TargetMode="External"/><Relationship Id="rId34" Type="http://schemas.openxmlformats.org/officeDocument/2006/relationships/hyperlink" Target="https://mmd.app/s/MMD-EST-0021" TargetMode="External"/><Relationship Id="rId37" Type="http://schemas.openxmlformats.org/officeDocument/2006/relationships/hyperlink" Target="https://mmd.app/s/MMD-EST-0024" TargetMode="External"/><Relationship Id="rId36" Type="http://schemas.openxmlformats.org/officeDocument/2006/relationships/hyperlink" Target="https://mmd.app/s/MMD-EST-0023" TargetMode="External"/><Relationship Id="rId39" Type="http://schemas.openxmlformats.org/officeDocument/2006/relationships/hyperlink" Target="https://mmd.app/s/MMD-EST-0026" TargetMode="External"/><Relationship Id="rId38" Type="http://schemas.openxmlformats.org/officeDocument/2006/relationships/hyperlink" Target="https://mmd.app/s/MMD-EST-0025" TargetMode="External"/><Relationship Id="rId20" Type="http://schemas.openxmlformats.org/officeDocument/2006/relationships/hyperlink" Target="https://mmd.app/s/MMD-EST-0007" TargetMode="External"/><Relationship Id="rId22" Type="http://schemas.openxmlformats.org/officeDocument/2006/relationships/hyperlink" Target="https://mmd.app/s/MMD-EST-0009" TargetMode="External"/><Relationship Id="rId21" Type="http://schemas.openxmlformats.org/officeDocument/2006/relationships/hyperlink" Target="https://mmd.app/s/MMD-EST-0008" TargetMode="External"/><Relationship Id="rId24" Type="http://schemas.openxmlformats.org/officeDocument/2006/relationships/hyperlink" Target="https://mmd.app/s/MMD-EST-0011" TargetMode="External"/><Relationship Id="rId23" Type="http://schemas.openxmlformats.org/officeDocument/2006/relationships/hyperlink" Target="https://mmd.app/s/MMD-EST-0010" TargetMode="External"/><Relationship Id="rId26" Type="http://schemas.openxmlformats.org/officeDocument/2006/relationships/hyperlink" Target="https://mmd.app/s/MMD-EST-0013" TargetMode="External"/><Relationship Id="rId25" Type="http://schemas.openxmlformats.org/officeDocument/2006/relationships/hyperlink" Target="https://mmd.app/s/MMD-EST-0012" TargetMode="External"/><Relationship Id="rId28" Type="http://schemas.openxmlformats.org/officeDocument/2006/relationships/hyperlink" Target="https://mmd.app/s/MMD-EST-0015" TargetMode="External"/><Relationship Id="rId27" Type="http://schemas.openxmlformats.org/officeDocument/2006/relationships/hyperlink" Target="https://mmd.app/s/MMD-EST-0014" TargetMode="External"/><Relationship Id="rId29" Type="http://schemas.openxmlformats.org/officeDocument/2006/relationships/hyperlink" Target="https://mmd.app/s/MMD-EST-0016" TargetMode="External"/><Relationship Id="rId11" Type="http://schemas.openxmlformats.org/officeDocument/2006/relationships/hyperlink" Target="https://mmd.app/s/MMD-EST-0032" TargetMode="External"/><Relationship Id="rId10" Type="http://schemas.openxmlformats.org/officeDocument/2006/relationships/hyperlink" Target="https://mmd.app/s/MMD-EST-0031" TargetMode="External"/><Relationship Id="rId13" Type="http://schemas.openxmlformats.org/officeDocument/2006/relationships/hyperlink" Target="https://mmd.app/s/MMD-EST-0034" TargetMode="External"/><Relationship Id="rId12" Type="http://schemas.openxmlformats.org/officeDocument/2006/relationships/hyperlink" Target="https://mmd.app/s/MMD-EST-0033" TargetMode="External"/><Relationship Id="rId15" Type="http://schemas.openxmlformats.org/officeDocument/2006/relationships/hyperlink" Target="https://mmd.app/s/MMD-EST-0002" TargetMode="External"/><Relationship Id="rId14" Type="http://schemas.openxmlformats.org/officeDocument/2006/relationships/hyperlink" Target="https://mmd.app/s/MMD-EST-0001" TargetMode="External"/><Relationship Id="rId17" Type="http://schemas.openxmlformats.org/officeDocument/2006/relationships/hyperlink" Target="https://mmd.app/s/MMD-EST-0004" TargetMode="External"/><Relationship Id="rId16" Type="http://schemas.openxmlformats.org/officeDocument/2006/relationships/hyperlink" Target="https://mmd.app/s/MMD-EST-0003" TargetMode="External"/><Relationship Id="rId19" Type="http://schemas.openxmlformats.org/officeDocument/2006/relationships/hyperlink" Target="https://mmd.app/s/MMD-EST-0006" TargetMode="External"/><Relationship Id="rId18" Type="http://schemas.openxmlformats.org/officeDocument/2006/relationships/hyperlink" Target="https://mmd.app/s/MMD-EST-0005" TargetMode="External"/><Relationship Id="rId1" Type="http://schemas.openxmlformats.org/officeDocument/2006/relationships/hyperlink" Target="https://mmd.app/s/MMD-EST-0035" TargetMode="External"/><Relationship Id="rId2" Type="http://schemas.openxmlformats.org/officeDocument/2006/relationships/hyperlink" Target="https://mmd.app/s/MMD-EST-0036" TargetMode="External"/><Relationship Id="rId3" Type="http://schemas.openxmlformats.org/officeDocument/2006/relationships/hyperlink" Target="https://mmd.app/s/MMD-EST-0037" TargetMode="External"/><Relationship Id="rId4" Type="http://schemas.openxmlformats.org/officeDocument/2006/relationships/hyperlink" Target="https://mmd.app/s/MMD-EST-0038" TargetMode="External"/><Relationship Id="rId9" Type="http://schemas.openxmlformats.org/officeDocument/2006/relationships/hyperlink" Target="https://mmd.app/s/MMD-EST-0043" TargetMode="External"/><Relationship Id="rId5" Type="http://schemas.openxmlformats.org/officeDocument/2006/relationships/hyperlink" Target="https://mmd.app/s/MMD-EST-0039" TargetMode="External"/><Relationship Id="rId6" Type="http://schemas.openxmlformats.org/officeDocument/2006/relationships/hyperlink" Target="https://mmd.app/s/MMD-EST-0040" TargetMode="External"/><Relationship Id="rId7" Type="http://schemas.openxmlformats.org/officeDocument/2006/relationships/hyperlink" Target="https://mmd.app/s/MMD-EST-0041" TargetMode="External"/><Relationship Id="rId8" Type="http://schemas.openxmlformats.org/officeDocument/2006/relationships/hyperlink" Target="https://mmd.app/s/MMD-EST-0042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mmd.app/s/MMD-EFE-0011" TargetMode="External"/><Relationship Id="rId10" Type="http://schemas.openxmlformats.org/officeDocument/2006/relationships/hyperlink" Target="https://mmd.app/s/MMD-EFE-0010" TargetMode="External"/><Relationship Id="rId13" Type="http://schemas.openxmlformats.org/officeDocument/2006/relationships/hyperlink" Target="https://mmd.app/s/MMD-EFE-0013" TargetMode="External"/><Relationship Id="rId12" Type="http://schemas.openxmlformats.org/officeDocument/2006/relationships/hyperlink" Target="https://mmd.app/s/MMD-EFE-0012" TargetMode="External"/><Relationship Id="rId14" Type="http://schemas.openxmlformats.org/officeDocument/2006/relationships/drawing" Target="../drawings/drawing7.xml"/><Relationship Id="rId1" Type="http://schemas.openxmlformats.org/officeDocument/2006/relationships/hyperlink" Target="https://mmd.app/s/MMD-EFE-0001" TargetMode="External"/><Relationship Id="rId2" Type="http://schemas.openxmlformats.org/officeDocument/2006/relationships/hyperlink" Target="https://mmd.app/s/MMD-EFE-0002" TargetMode="External"/><Relationship Id="rId3" Type="http://schemas.openxmlformats.org/officeDocument/2006/relationships/hyperlink" Target="https://mmd.app/s/MMD-EFE-0003" TargetMode="External"/><Relationship Id="rId4" Type="http://schemas.openxmlformats.org/officeDocument/2006/relationships/hyperlink" Target="https://mmd.app/s/MMD-EFE-0004" TargetMode="External"/><Relationship Id="rId9" Type="http://schemas.openxmlformats.org/officeDocument/2006/relationships/hyperlink" Target="https://mmd.app/s/MMD-EFE-0009" TargetMode="External"/><Relationship Id="rId5" Type="http://schemas.openxmlformats.org/officeDocument/2006/relationships/hyperlink" Target="https://mmd.app/s/MMD-EFE-0005" TargetMode="External"/><Relationship Id="rId6" Type="http://schemas.openxmlformats.org/officeDocument/2006/relationships/hyperlink" Target="https://mmd.app/s/MMD-EFE-0006" TargetMode="External"/><Relationship Id="rId7" Type="http://schemas.openxmlformats.org/officeDocument/2006/relationships/hyperlink" Target="https://mmd.app/s/MMD-EFE-0007" TargetMode="External"/><Relationship Id="rId8" Type="http://schemas.openxmlformats.org/officeDocument/2006/relationships/hyperlink" Target="https://mmd.app/s/MMD-EFE-0008" TargetMode="External"/></Relationships>
</file>

<file path=xl/worksheets/_rels/sheet8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8.xml"/><Relationship Id="rId1" Type="http://schemas.openxmlformats.org/officeDocument/2006/relationships/hyperlink" Target="https://mmd.app/s/MMD-VID-0001" TargetMode="External"/><Relationship Id="rId2" Type="http://schemas.openxmlformats.org/officeDocument/2006/relationships/hyperlink" Target="https://mmd.app/s/MMD-VID-0002" TargetMode="External"/><Relationship Id="rId3" Type="http://schemas.openxmlformats.org/officeDocument/2006/relationships/hyperlink" Target="https://mmd.app/s/MMD-VID-0003" TargetMode="External"/><Relationship Id="rId4" Type="http://schemas.openxmlformats.org/officeDocument/2006/relationships/hyperlink" Target="https://mmd.app/s/MMD-VID-0008" TargetMode="External"/><Relationship Id="rId9" Type="http://schemas.openxmlformats.org/officeDocument/2006/relationships/hyperlink" Target="https://mmd.app/s/MMD-VID-0009" TargetMode="External"/><Relationship Id="rId5" Type="http://schemas.openxmlformats.org/officeDocument/2006/relationships/hyperlink" Target="https://mmd.app/s/MMD-VID-0004" TargetMode="External"/><Relationship Id="rId6" Type="http://schemas.openxmlformats.org/officeDocument/2006/relationships/hyperlink" Target="https://mmd.app/s/MMD-VID-0005" TargetMode="External"/><Relationship Id="rId7" Type="http://schemas.openxmlformats.org/officeDocument/2006/relationships/hyperlink" Target="https://mmd.app/s/MMD-VID-0006" TargetMode="External"/><Relationship Id="rId8" Type="http://schemas.openxmlformats.org/officeDocument/2006/relationships/hyperlink" Target="https://mmd.app/s/MMD-VID-0007" TargetMode="Externa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https://mmd.app/s/MMD-ACE-0017" TargetMode="External"/><Relationship Id="rId22" Type="http://schemas.openxmlformats.org/officeDocument/2006/relationships/hyperlink" Target="https://mmd.app/s/MMD-ACE-0019" TargetMode="External"/><Relationship Id="rId21" Type="http://schemas.openxmlformats.org/officeDocument/2006/relationships/hyperlink" Target="https://mmd.app/s/MMD-ACE-0018" TargetMode="External"/><Relationship Id="rId24" Type="http://schemas.openxmlformats.org/officeDocument/2006/relationships/hyperlink" Target="https://mmd.app/s/MMD-ACE-0021" TargetMode="External"/><Relationship Id="rId23" Type="http://schemas.openxmlformats.org/officeDocument/2006/relationships/hyperlink" Target="https://mmd.app/s/MMD-ACE-0020" TargetMode="External"/><Relationship Id="rId25" Type="http://schemas.openxmlformats.org/officeDocument/2006/relationships/drawing" Target="../drawings/drawing9.xml"/><Relationship Id="rId11" Type="http://schemas.openxmlformats.org/officeDocument/2006/relationships/hyperlink" Target="https://mmd.app/s/MMD-ACE-0010" TargetMode="External"/><Relationship Id="rId10" Type="http://schemas.openxmlformats.org/officeDocument/2006/relationships/hyperlink" Target="https://mmd.app/s/MMD-ACE-0009" TargetMode="External"/><Relationship Id="rId13" Type="http://schemas.openxmlformats.org/officeDocument/2006/relationships/hyperlink" Target="https://mmd.app/s/MMD-ACE-0024" TargetMode="External"/><Relationship Id="rId12" Type="http://schemas.openxmlformats.org/officeDocument/2006/relationships/hyperlink" Target="https://mmd.app/s/MMD-ACE-0011" TargetMode="External"/><Relationship Id="rId15" Type="http://schemas.openxmlformats.org/officeDocument/2006/relationships/hyperlink" Target="https://mmd.app/s/MMD-ACE-0013" TargetMode="External"/><Relationship Id="rId14" Type="http://schemas.openxmlformats.org/officeDocument/2006/relationships/hyperlink" Target="https://mmd.app/s/MMD-ACE-0012" TargetMode="External"/><Relationship Id="rId17" Type="http://schemas.openxmlformats.org/officeDocument/2006/relationships/hyperlink" Target="https://mmd.app/s/MMD-ACE-0014" TargetMode="External"/><Relationship Id="rId16" Type="http://schemas.openxmlformats.org/officeDocument/2006/relationships/hyperlink" Target="https://mmd.app/s/MMD-ACE-0023" TargetMode="External"/><Relationship Id="rId19" Type="http://schemas.openxmlformats.org/officeDocument/2006/relationships/hyperlink" Target="https://mmd.app/s/MMD-ACE-0016" TargetMode="External"/><Relationship Id="rId18" Type="http://schemas.openxmlformats.org/officeDocument/2006/relationships/hyperlink" Target="https://mmd.app/s/MMD-ACE-0015" TargetMode="External"/><Relationship Id="rId1" Type="http://schemas.openxmlformats.org/officeDocument/2006/relationships/hyperlink" Target="https://mmd.app/s/MMD-ACE-0001" TargetMode="External"/><Relationship Id="rId2" Type="http://schemas.openxmlformats.org/officeDocument/2006/relationships/hyperlink" Target="https://mmd.app/s/MMD-ACE-0022" TargetMode="External"/><Relationship Id="rId3" Type="http://schemas.openxmlformats.org/officeDocument/2006/relationships/hyperlink" Target="https://mmd.app/s/MMD-ACE-0002" TargetMode="External"/><Relationship Id="rId4" Type="http://schemas.openxmlformats.org/officeDocument/2006/relationships/hyperlink" Target="https://mmd.app/s/MMD-ACE-0003" TargetMode="External"/><Relationship Id="rId9" Type="http://schemas.openxmlformats.org/officeDocument/2006/relationships/hyperlink" Target="https://mmd.app/s/MMD-ACE-0008" TargetMode="External"/><Relationship Id="rId5" Type="http://schemas.openxmlformats.org/officeDocument/2006/relationships/hyperlink" Target="https://mmd.app/s/MMD-ACE-0004" TargetMode="External"/><Relationship Id="rId6" Type="http://schemas.openxmlformats.org/officeDocument/2006/relationships/hyperlink" Target="https://mmd.app/s/MMD-ACE-0005" TargetMode="External"/><Relationship Id="rId7" Type="http://schemas.openxmlformats.org/officeDocument/2006/relationships/hyperlink" Target="https://mmd.app/s/MMD-ACE-0006" TargetMode="External"/><Relationship Id="rId8" Type="http://schemas.openxmlformats.org/officeDocument/2006/relationships/hyperlink" Target="https://mmd.app/s/MMD-ACE-0007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172A"/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0"/>
    <col customWidth="1" min="3" max="3" width="50.0"/>
    <col customWidth="1" min="4" max="4" width="3.0"/>
    <col customWidth="1" min="5" max="26" width="8.71"/>
  </cols>
  <sheetData>
    <row r="2" ht="49.5" customHeight="1">
      <c r="B2" s="1" t="s">
        <v>0</v>
      </c>
    </row>
    <row r="3" ht="27.75" customHeight="1">
      <c r="B3" s="2" t="s">
        <v>1</v>
      </c>
    </row>
    <row r="4">
      <c r="B4" s="3" t="s">
        <v>2</v>
      </c>
    </row>
    <row r="6" ht="39.75" customHeight="1">
      <c r="B6" s="4" t="s">
        <v>3</v>
      </c>
      <c r="C6" s="5"/>
    </row>
    <row r="7" ht="24.0" customHeight="1">
      <c r="B7" s="6" t="s">
        <v>4</v>
      </c>
    </row>
    <row r="8" ht="24.0" customHeight="1">
      <c r="B8" s="6" t="s">
        <v>5</v>
      </c>
    </row>
    <row r="9" ht="24.0" customHeight="1">
      <c r="B9" s="6" t="s">
        <v>6</v>
      </c>
    </row>
    <row r="10" ht="24.0" customHeight="1">
      <c r="B10" s="6" t="s">
        <v>7</v>
      </c>
    </row>
    <row r="12" ht="39.75" customHeight="1">
      <c r="B12" s="7" t="s">
        <v>8</v>
      </c>
      <c r="C12" s="5"/>
    </row>
    <row r="13" ht="27.75" customHeight="1">
      <c r="B13" s="8" t="s">
        <v>9</v>
      </c>
      <c r="C13" s="6" t="s">
        <v>10</v>
      </c>
    </row>
    <row r="14" ht="27.75" customHeight="1">
      <c r="B14" s="9" t="s">
        <v>11</v>
      </c>
      <c r="C14" s="6" t="s">
        <v>12</v>
      </c>
    </row>
    <row r="15" ht="27.75" customHeight="1">
      <c r="B15" s="10" t="s">
        <v>13</v>
      </c>
      <c r="C15" s="6" t="s">
        <v>14</v>
      </c>
    </row>
    <row r="16" ht="27.75" customHeight="1">
      <c r="B16" s="11" t="s">
        <v>15</v>
      </c>
      <c r="C16" s="6" t="s">
        <v>16</v>
      </c>
    </row>
    <row r="17" ht="27.75" customHeight="1">
      <c r="B17" s="12" t="s">
        <v>17</v>
      </c>
      <c r="C17" s="6" t="s">
        <v>18</v>
      </c>
    </row>
    <row r="18" ht="27.75" customHeight="1">
      <c r="B18" s="13" t="s">
        <v>19</v>
      </c>
      <c r="C18" s="6" t="s">
        <v>20</v>
      </c>
    </row>
    <row r="19" ht="27.75" customHeight="1">
      <c r="B19" s="13" t="s">
        <v>21</v>
      </c>
      <c r="C19" s="6" t="s">
        <v>22</v>
      </c>
    </row>
    <row r="21" ht="39.75" customHeight="1">
      <c r="B21" s="7" t="s">
        <v>23</v>
      </c>
      <c r="C21" s="5"/>
    </row>
    <row r="22" ht="27.75" customHeight="1">
      <c r="B22" s="8" t="s">
        <v>24</v>
      </c>
      <c r="C22" s="6" t="s">
        <v>25</v>
      </c>
    </row>
    <row r="23" ht="27.75" customHeight="1">
      <c r="B23" s="10" t="s">
        <v>26</v>
      </c>
      <c r="C23" s="6" t="s">
        <v>27</v>
      </c>
    </row>
    <row r="24" ht="27.75" customHeight="1">
      <c r="B24" s="9" t="s">
        <v>28</v>
      </c>
      <c r="C24" s="6" t="s">
        <v>29</v>
      </c>
    </row>
    <row r="25" ht="27.75" customHeight="1">
      <c r="B25" s="14" t="s">
        <v>30</v>
      </c>
      <c r="C25" s="6" t="s">
        <v>31</v>
      </c>
    </row>
    <row r="26" ht="15.75" customHeight="1"/>
    <row r="27" ht="39.75" customHeight="1">
      <c r="B27" s="7" t="s">
        <v>32</v>
      </c>
      <c r="C27" s="5"/>
    </row>
    <row r="28" ht="27.75" customHeight="1">
      <c r="B28" s="15" t="s">
        <v>33</v>
      </c>
      <c r="C28" s="6" t="s">
        <v>34</v>
      </c>
    </row>
    <row r="29" ht="27.75" customHeight="1">
      <c r="B29" s="16" t="s">
        <v>35</v>
      </c>
      <c r="C29" s="6" t="s">
        <v>36</v>
      </c>
    </row>
    <row r="30" ht="27.75" customHeight="1">
      <c r="B30" s="17" t="s">
        <v>37</v>
      </c>
      <c r="C30" s="6" t="s">
        <v>38</v>
      </c>
    </row>
    <row r="31" ht="27.75" customHeight="1">
      <c r="B31" s="18" t="s">
        <v>39</v>
      </c>
      <c r="C31" s="6" t="s">
        <v>40</v>
      </c>
    </row>
    <row r="32" ht="27.75" customHeight="1">
      <c r="B32" s="19" t="s">
        <v>41</v>
      </c>
      <c r="C32" s="6" t="s">
        <v>42</v>
      </c>
    </row>
    <row r="33" ht="15.75" customHeight="1"/>
    <row r="34" ht="39.75" customHeight="1">
      <c r="B34" s="20" t="s">
        <v>43</v>
      </c>
      <c r="C34" s="5"/>
    </row>
    <row r="35" ht="24.0" customHeight="1">
      <c r="B35" s="21" t="s">
        <v>44</v>
      </c>
    </row>
    <row r="36" ht="24.0" customHeight="1">
      <c r="B36" s="6" t="s">
        <v>45</v>
      </c>
    </row>
    <row r="37" ht="24.0" customHeight="1">
      <c r="B37" s="6" t="s">
        <v>46</v>
      </c>
    </row>
    <row r="38" ht="24.0" customHeight="1">
      <c r="B38" s="22" t="s">
        <v>47</v>
      </c>
    </row>
    <row r="39" ht="24.0" customHeight="1">
      <c r="B39" s="23" t="s">
        <v>48</v>
      </c>
    </row>
    <row r="40" ht="24.0" customHeight="1">
      <c r="B40" s="22" t="s">
        <v>49</v>
      </c>
    </row>
    <row r="41" ht="15.75" customHeight="1"/>
    <row r="42" ht="39.75" customHeight="1">
      <c r="B42" s="4" t="s">
        <v>50</v>
      </c>
      <c r="C42" s="5"/>
    </row>
    <row r="43" ht="24.0" customHeight="1">
      <c r="B43" s="21" t="s">
        <v>51</v>
      </c>
    </row>
    <row r="44" ht="24.0" customHeight="1">
      <c r="B44" s="6" t="s">
        <v>52</v>
      </c>
    </row>
    <row r="45" ht="24.0" customHeight="1">
      <c r="B45" s="6" t="s">
        <v>53</v>
      </c>
    </row>
    <row r="46" ht="24.0" customHeight="1">
      <c r="B46" s="6" t="s">
        <v>54</v>
      </c>
    </row>
    <row r="47" ht="15.75" customHeight="1"/>
    <row r="48" ht="39.75" customHeight="1">
      <c r="B48" s="4" t="s">
        <v>55</v>
      </c>
      <c r="C48" s="5"/>
    </row>
    <row r="49" ht="27.75" customHeight="1">
      <c r="B49" s="24" t="s">
        <v>56</v>
      </c>
      <c r="C49" s="6" t="s">
        <v>57</v>
      </c>
    </row>
    <row r="50" ht="27.75" customHeight="1">
      <c r="B50" s="25" t="s">
        <v>58</v>
      </c>
      <c r="C50" s="6" t="s">
        <v>59</v>
      </c>
    </row>
    <row r="51" ht="27.75" customHeight="1">
      <c r="B51" s="26" t="s">
        <v>60</v>
      </c>
      <c r="C51" s="6" t="s">
        <v>61</v>
      </c>
    </row>
    <row r="52" ht="27.75" customHeight="1">
      <c r="B52" s="27" t="s">
        <v>62</v>
      </c>
      <c r="C52" s="6" t="s">
        <v>63</v>
      </c>
    </row>
    <row r="53" ht="27.75" customHeight="1">
      <c r="B53" s="28" t="s">
        <v>64</v>
      </c>
      <c r="C53" s="6" t="s">
        <v>65</v>
      </c>
    </row>
    <row r="54" ht="27.75" customHeight="1">
      <c r="B54" s="29" t="s">
        <v>66</v>
      </c>
      <c r="C54" s="6" t="s">
        <v>67</v>
      </c>
    </row>
    <row r="55" ht="27.75" customHeight="1">
      <c r="B55" s="30" t="s">
        <v>68</v>
      </c>
      <c r="C55" s="6" t="s">
        <v>69</v>
      </c>
    </row>
    <row r="56" ht="27.75" customHeight="1">
      <c r="B56" s="31" t="s">
        <v>70</v>
      </c>
      <c r="C56" s="6" t="s">
        <v>71</v>
      </c>
    </row>
    <row r="57" ht="15.75" customHeight="1"/>
    <row r="58" ht="15.75" customHeight="1"/>
    <row r="59" ht="18.0" customHeight="1">
      <c r="A59" s="32" t="s">
        <v>72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5">
    <mergeCell ref="B2:C2"/>
    <mergeCell ref="B3:C3"/>
    <mergeCell ref="B4:C4"/>
    <mergeCell ref="B6:C6"/>
    <mergeCell ref="B7:C7"/>
    <mergeCell ref="B8:C8"/>
    <mergeCell ref="B9:C9"/>
    <mergeCell ref="B10:C10"/>
    <mergeCell ref="B12:C12"/>
    <mergeCell ref="B21:C21"/>
    <mergeCell ref="B27:C27"/>
    <mergeCell ref="B34:C34"/>
    <mergeCell ref="B35:C35"/>
    <mergeCell ref="B36:C36"/>
    <mergeCell ref="B45:C45"/>
    <mergeCell ref="B46:C46"/>
    <mergeCell ref="B48:C48"/>
    <mergeCell ref="A59:C59"/>
    <mergeCell ref="B37:C37"/>
    <mergeCell ref="B38:C38"/>
    <mergeCell ref="B39:C39"/>
    <mergeCell ref="B40:C40"/>
    <mergeCell ref="B42:C42"/>
    <mergeCell ref="B43:C43"/>
    <mergeCell ref="B44:C44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F46E5"/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8.0"/>
    <col customWidth="1" min="3" max="7" width="14.0"/>
    <col customWidth="1" min="8" max="9" width="3.0"/>
    <col customWidth="1" min="10" max="10" width="18.0"/>
    <col customWidth="1" min="11" max="13" width="14.0"/>
    <col customWidth="1" hidden="1" min="14" max="14" width="13.0"/>
    <col customWidth="1" min="15" max="23" width="8.71"/>
    <col customWidth="1" hidden="1" min="24" max="24" width="13.0"/>
    <col customWidth="1" min="25" max="26" width="8.71"/>
  </cols>
  <sheetData>
    <row r="2" ht="37.5" customHeight="1">
      <c r="B2" s="33" t="s">
        <v>0</v>
      </c>
    </row>
    <row r="3">
      <c r="B3" s="34" t="s">
        <v>73</v>
      </c>
    </row>
    <row r="5" ht="36.0" customHeight="1">
      <c r="B5" s="35">
        <v>519.0</v>
      </c>
      <c r="C5" s="36"/>
      <c r="D5" s="37">
        <v>511.0</v>
      </c>
      <c r="E5" s="36"/>
      <c r="F5" s="38">
        <v>0.0</v>
      </c>
      <c r="G5" s="36"/>
    </row>
    <row r="6" ht="15.75" customHeight="1">
      <c r="B6" s="39" t="s">
        <v>74</v>
      </c>
      <c r="C6" s="36"/>
      <c r="D6" s="39" t="s">
        <v>75</v>
      </c>
      <c r="E6" s="36"/>
      <c r="F6" s="39" t="s">
        <v>76</v>
      </c>
      <c r="G6" s="36"/>
    </row>
    <row r="7" ht="3.75" customHeight="1">
      <c r="B7" s="40"/>
      <c r="C7" s="40"/>
      <c r="D7" s="40"/>
      <c r="E7" s="40"/>
      <c r="F7" s="40"/>
      <c r="G7" s="40"/>
    </row>
    <row r="8" ht="36.0" customHeight="1">
      <c r="B8" s="41">
        <v>0.0</v>
      </c>
      <c r="C8" s="36"/>
      <c r="D8" s="42">
        <v>796323.5</v>
      </c>
      <c r="E8" s="36"/>
      <c r="F8" s="43">
        <v>707348.99</v>
      </c>
      <c r="G8" s="36"/>
    </row>
    <row r="9" ht="15.75" customHeight="1">
      <c r="B9" s="39" t="s">
        <v>77</v>
      </c>
      <c r="C9" s="36"/>
      <c r="D9" s="39" t="s">
        <v>78</v>
      </c>
      <c r="E9" s="36"/>
      <c r="F9" s="39" t="s">
        <v>79</v>
      </c>
      <c r="G9" s="36"/>
    </row>
    <row r="10" ht="3.75" customHeight="1">
      <c r="B10" s="40"/>
      <c r="C10" s="40"/>
      <c r="D10" s="40"/>
      <c r="E10" s="40"/>
      <c r="F10" s="40"/>
      <c r="G10" s="40"/>
    </row>
    <row r="11">
      <c r="B11" s="44" t="s">
        <v>80</v>
      </c>
    </row>
    <row r="12" ht="30.0" customHeight="1">
      <c r="B12" s="45" t="s">
        <v>81</v>
      </c>
      <c r="C12" s="46">
        <v>291.0</v>
      </c>
      <c r="D12" s="47" t="s">
        <v>82</v>
      </c>
      <c r="E12" s="48">
        <v>152.0</v>
      </c>
    </row>
    <row r="13" ht="15.75" customHeight="1">
      <c r="B13" s="49" t="s">
        <v>83</v>
      </c>
      <c r="C13" s="49" t="s">
        <v>84</v>
      </c>
      <c r="D13" s="49" t="s">
        <v>85</v>
      </c>
      <c r="E13" s="49" t="s">
        <v>86</v>
      </c>
    </row>
    <row r="15">
      <c r="B15" s="44" t="s">
        <v>87</v>
      </c>
    </row>
    <row r="16" ht="25.5" customHeight="1">
      <c r="B16" s="50" t="s">
        <v>88</v>
      </c>
      <c r="C16" s="50" t="s">
        <v>89</v>
      </c>
      <c r="D16" s="50" t="s">
        <v>90</v>
      </c>
      <c r="E16" s="50" t="s">
        <v>91</v>
      </c>
      <c r="F16" s="50" t="s">
        <v>92</v>
      </c>
    </row>
    <row r="17">
      <c r="A17" s="51"/>
      <c r="B17" s="52" t="s">
        <v>93</v>
      </c>
      <c r="C17" s="51">
        <v>270.0</v>
      </c>
      <c r="D17" s="53">
        <v>246366.48</v>
      </c>
      <c r="E17" s="54">
        <v>198692.34</v>
      </c>
      <c r="F17" s="55">
        <v>0.30937989397525</v>
      </c>
      <c r="N17" s="56" t="s">
        <v>94</v>
      </c>
      <c r="X17" s="56" t="s">
        <v>95</v>
      </c>
    </row>
    <row r="18">
      <c r="A18" s="57"/>
      <c r="B18" s="58" t="s">
        <v>96</v>
      </c>
      <c r="C18" s="57">
        <v>125.0</v>
      </c>
      <c r="D18" s="59">
        <v>446936.35</v>
      </c>
      <c r="E18" s="60">
        <v>408059.94</v>
      </c>
      <c r="F18" s="61">
        <v>0.5612497307940805</v>
      </c>
      <c r="N18" s="56" t="s">
        <v>97</v>
      </c>
      <c r="X18" s="56" t="s">
        <v>98</v>
      </c>
    </row>
    <row r="19">
      <c r="A19" s="51"/>
      <c r="B19" s="62" t="s">
        <v>99</v>
      </c>
      <c r="C19" s="51">
        <v>27.0</v>
      </c>
      <c r="D19" s="53">
        <v>5785.73</v>
      </c>
      <c r="E19" s="54">
        <v>4877.84</v>
      </c>
      <c r="F19" s="55">
        <v>0.007265552253575337</v>
      </c>
      <c r="N19" s="56" t="s">
        <v>100</v>
      </c>
      <c r="X19" s="56" t="s">
        <v>101</v>
      </c>
    </row>
    <row r="20">
      <c r="A20" s="57"/>
      <c r="B20" s="63" t="s">
        <v>102</v>
      </c>
      <c r="C20" s="57">
        <v>43.0</v>
      </c>
      <c r="D20" s="59">
        <v>17629.93</v>
      </c>
      <c r="E20" s="60">
        <v>14934.46</v>
      </c>
      <c r="F20" s="61">
        <v>0.02213915575767888</v>
      </c>
      <c r="N20" s="56" t="s">
        <v>103</v>
      </c>
      <c r="X20" s="56" t="s">
        <v>104</v>
      </c>
    </row>
    <row r="21" ht="15.75" customHeight="1">
      <c r="A21" s="51"/>
      <c r="B21" s="64" t="s">
        <v>105</v>
      </c>
      <c r="C21" s="51">
        <v>13.0</v>
      </c>
      <c r="D21" s="53">
        <v>8441.0</v>
      </c>
      <c r="E21" s="54">
        <v>8349.15</v>
      </c>
      <c r="F21" s="55">
        <v>0.01059996345706236</v>
      </c>
      <c r="N21" s="56" t="s">
        <v>106</v>
      </c>
      <c r="X21" s="56" t="s">
        <v>107</v>
      </c>
    </row>
    <row r="22" ht="15.75" customHeight="1">
      <c r="A22" s="57"/>
      <c r="B22" s="65" t="s">
        <v>108</v>
      </c>
      <c r="C22" s="57">
        <v>9.0</v>
      </c>
      <c r="D22" s="59">
        <v>13022.82</v>
      </c>
      <c r="E22" s="60">
        <v>15008.87</v>
      </c>
      <c r="F22" s="61">
        <v>0.0163536803824074</v>
      </c>
      <c r="N22" s="56" t="s">
        <v>109</v>
      </c>
      <c r="X22" s="56" t="s">
        <v>110</v>
      </c>
    </row>
    <row r="23" ht="15.75" customHeight="1">
      <c r="A23" s="51"/>
      <c r="B23" s="66" t="s">
        <v>111</v>
      </c>
      <c r="C23" s="51">
        <v>24.0</v>
      </c>
      <c r="D23" s="53">
        <v>34050.41</v>
      </c>
      <c r="E23" s="54">
        <v>33648.96</v>
      </c>
      <c r="F23" s="55">
        <v>0.04275951921549472</v>
      </c>
      <c r="N23" s="56" t="s">
        <v>112</v>
      </c>
      <c r="X23" s="56" t="s">
        <v>113</v>
      </c>
    </row>
    <row r="24" ht="15.75" customHeight="1">
      <c r="A24" s="57"/>
      <c r="B24" s="67" t="s">
        <v>114</v>
      </c>
      <c r="C24" s="57">
        <v>8.0</v>
      </c>
      <c r="D24" s="59">
        <v>24090.78</v>
      </c>
      <c r="E24" s="60">
        <v>23777.43</v>
      </c>
      <c r="F24" s="61">
        <v>0.03025250416445075</v>
      </c>
      <c r="N24" s="56" t="s">
        <v>115</v>
      </c>
      <c r="X24" s="56" t="s">
        <v>116</v>
      </c>
    </row>
    <row r="25" ht="15.75" customHeight="1"/>
    <row r="26" ht="15.75" customHeight="1">
      <c r="B26" s="44" t="s">
        <v>117</v>
      </c>
    </row>
    <row r="27" ht="25.5" customHeight="1">
      <c r="B27" s="50" t="s">
        <v>118</v>
      </c>
      <c r="C27" s="50" t="s">
        <v>89</v>
      </c>
      <c r="D27" s="50" t="s">
        <v>119</v>
      </c>
    </row>
    <row r="28" ht="15.75" customHeight="1">
      <c r="B28" s="68" t="s">
        <v>75</v>
      </c>
      <c r="C28" s="69">
        <v>511.0</v>
      </c>
      <c r="D28" s="70">
        <v>0.9845857418111753</v>
      </c>
    </row>
    <row r="29" ht="15.75" customHeight="1">
      <c r="B29" s="71" t="s">
        <v>120</v>
      </c>
      <c r="C29" s="69">
        <v>0.0</v>
      </c>
      <c r="D29" s="70">
        <v>0.0</v>
      </c>
    </row>
    <row r="30" ht="15.75" customHeight="1">
      <c r="B30" s="72" t="s">
        <v>121</v>
      </c>
      <c r="C30" s="69">
        <v>0.0</v>
      </c>
      <c r="D30" s="70">
        <v>0.0</v>
      </c>
    </row>
    <row r="31" ht="15.75" customHeight="1">
      <c r="B31" s="73" t="s">
        <v>77</v>
      </c>
      <c r="C31" s="69">
        <v>0.0</v>
      </c>
      <c r="D31" s="70">
        <v>0.0</v>
      </c>
    </row>
    <row r="32" ht="15.75" customHeight="1"/>
    <row r="33" ht="15.75" customHeight="1">
      <c r="B33" s="44" t="s">
        <v>122</v>
      </c>
    </row>
    <row r="34" ht="25.5" customHeight="1">
      <c r="B34" s="50" t="s">
        <v>123</v>
      </c>
      <c r="C34" s="50" t="s">
        <v>88</v>
      </c>
      <c r="D34" s="50" t="s">
        <v>124</v>
      </c>
      <c r="E34" s="50" t="s">
        <v>125</v>
      </c>
      <c r="F34" s="50" t="s">
        <v>91</v>
      </c>
    </row>
    <row r="35" ht="15.75" customHeight="1">
      <c r="A35" s="57"/>
      <c r="B35" s="74" t="s">
        <v>126</v>
      </c>
      <c r="C35" s="75" t="s">
        <v>96</v>
      </c>
      <c r="D35" s="59">
        <v>22499.99</v>
      </c>
      <c r="E35" s="76" t="s">
        <v>127</v>
      </c>
      <c r="F35" s="77">
        <v>15900.0</v>
      </c>
    </row>
    <row r="36" ht="15.75" customHeight="1">
      <c r="A36" s="51"/>
      <c r="B36" s="78" t="s">
        <v>128</v>
      </c>
      <c r="C36" s="79" t="s">
        <v>96</v>
      </c>
      <c r="D36" s="53">
        <v>19990.0</v>
      </c>
      <c r="E36" s="76" t="s">
        <v>127</v>
      </c>
      <c r="F36" s="80">
        <v>26246.0</v>
      </c>
    </row>
    <row r="37" ht="15.75" customHeight="1">
      <c r="A37" s="57"/>
      <c r="B37" s="74" t="s">
        <v>129</v>
      </c>
      <c r="C37" s="75" t="s">
        <v>96</v>
      </c>
      <c r="D37" s="59">
        <v>13997.0</v>
      </c>
      <c r="E37" s="76" t="s">
        <v>127</v>
      </c>
      <c r="F37" s="77">
        <v>11319.0</v>
      </c>
    </row>
    <row r="38" ht="15.75" customHeight="1">
      <c r="A38" s="51"/>
      <c r="B38" s="78" t="s">
        <v>130</v>
      </c>
      <c r="C38" s="79" t="s">
        <v>96</v>
      </c>
      <c r="D38" s="53">
        <v>13500.0</v>
      </c>
      <c r="E38" s="76" t="s">
        <v>127</v>
      </c>
      <c r="F38" s="80">
        <v>13500.0</v>
      </c>
    </row>
    <row r="39" ht="15.75" customHeight="1">
      <c r="A39" s="57"/>
      <c r="B39" s="74" t="s">
        <v>131</v>
      </c>
      <c r="C39" s="75" t="s">
        <v>96</v>
      </c>
      <c r="D39" s="59">
        <v>12900.0</v>
      </c>
      <c r="E39" s="81" t="s">
        <v>132</v>
      </c>
      <c r="F39" s="77">
        <v>10490.0</v>
      </c>
    </row>
    <row r="40" ht="15.75" customHeight="1">
      <c r="A40" s="51"/>
      <c r="B40" s="78" t="s">
        <v>133</v>
      </c>
      <c r="C40" s="79" t="s">
        <v>96</v>
      </c>
      <c r="D40" s="53">
        <v>12530.0</v>
      </c>
      <c r="E40" s="76" t="s">
        <v>132</v>
      </c>
      <c r="F40" s="80">
        <v>8990.0</v>
      </c>
    </row>
    <row r="41" ht="15.75" customHeight="1">
      <c r="A41" s="57"/>
      <c r="B41" s="74" t="s">
        <v>133</v>
      </c>
      <c r="C41" s="75" t="s">
        <v>96</v>
      </c>
      <c r="D41" s="59">
        <v>12530.0</v>
      </c>
      <c r="E41" s="76" t="s">
        <v>127</v>
      </c>
      <c r="F41" s="77">
        <v>8990.0</v>
      </c>
    </row>
    <row r="42" ht="15.75" customHeight="1">
      <c r="A42" s="51"/>
      <c r="B42" s="78" t="s">
        <v>133</v>
      </c>
      <c r="C42" s="79" t="s">
        <v>96</v>
      </c>
      <c r="D42" s="53">
        <v>12530.0</v>
      </c>
      <c r="E42" s="76" t="s">
        <v>127</v>
      </c>
      <c r="F42" s="80">
        <v>8990.0</v>
      </c>
    </row>
    <row r="43" ht="15.75" customHeight="1">
      <c r="A43" s="57"/>
      <c r="B43" s="74" t="s">
        <v>133</v>
      </c>
      <c r="C43" s="75" t="s">
        <v>96</v>
      </c>
      <c r="D43" s="59">
        <v>12530.0</v>
      </c>
      <c r="E43" s="76" t="s">
        <v>127</v>
      </c>
      <c r="F43" s="77">
        <v>8990.0</v>
      </c>
    </row>
    <row r="44" ht="15.75" customHeight="1">
      <c r="A44" s="51"/>
      <c r="B44" s="78" t="s">
        <v>133</v>
      </c>
      <c r="C44" s="79" t="s">
        <v>96</v>
      </c>
      <c r="D44" s="53">
        <v>12530.0</v>
      </c>
      <c r="E44" s="76" t="s">
        <v>127</v>
      </c>
      <c r="F44" s="80">
        <v>8990.0</v>
      </c>
    </row>
    <row r="45" ht="15.75" customHeight="1"/>
    <row r="46" ht="15.75" customHeight="1">
      <c r="B46" s="44" t="s">
        <v>134</v>
      </c>
    </row>
    <row r="47" ht="25.5" customHeight="1">
      <c r="B47" s="50" t="s">
        <v>88</v>
      </c>
      <c r="C47" s="50" t="s">
        <v>135</v>
      </c>
      <c r="D47" s="50" t="s">
        <v>136</v>
      </c>
    </row>
    <row r="48" ht="15.75" customHeight="1">
      <c r="A48" s="57"/>
      <c r="B48" s="58" t="s">
        <v>96</v>
      </c>
      <c r="C48" s="82">
        <v>324703.8499999982</v>
      </c>
      <c r="D48" s="83">
        <v>0.5263865431840391</v>
      </c>
    </row>
    <row r="49" ht="15.75" customHeight="1">
      <c r="A49" s="51"/>
      <c r="B49" s="52" t="s">
        <v>93</v>
      </c>
      <c r="C49" s="84">
        <v>196709.08</v>
      </c>
      <c r="D49" s="85">
        <v>0.7349462073725188</v>
      </c>
    </row>
    <row r="50" ht="15.75" customHeight="1">
      <c r="A50" s="57"/>
      <c r="B50" s="86" t="s">
        <v>102</v>
      </c>
      <c r="C50" s="82">
        <v>34829.8</v>
      </c>
      <c r="D50" s="83">
        <v>0.6100003502749658</v>
      </c>
    </row>
    <row r="51" ht="15.75" customHeight="1">
      <c r="A51" s="51"/>
      <c r="B51" s="87" t="s">
        <v>111</v>
      </c>
      <c r="C51" s="84">
        <v>32260.4</v>
      </c>
      <c r="D51" s="85">
        <v>0.6458367866955268</v>
      </c>
    </row>
    <row r="52" ht="15.75" customHeight="1">
      <c r="A52" s="57"/>
      <c r="B52" s="63" t="s">
        <v>99</v>
      </c>
      <c r="C52" s="82">
        <v>20529.55</v>
      </c>
      <c r="D52" s="83">
        <v>0.6100000000000001</v>
      </c>
    </row>
    <row r="53" ht="15.75" customHeight="1">
      <c r="A53" s="51"/>
      <c r="B53" s="66" t="s">
        <v>108</v>
      </c>
      <c r="C53" s="84">
        <v>7740.900000000001</v>
      </c>
      <c r="D53" s="85">
        <v>0.6100000000000001</v>
      </c>
    </row>
    <row r="54" ht="15.75" customHeight="1">
      <c r="A54" s="57"/>
      <c r="B54" s="65" t="s">
        <v>105</v>
      </c>
      <c r="C54" s="82">
        <v>6246.34</v>
      </c>
      <c r="D54" s="83">
        <v>0.74</v>
      </c>
    </row>
    <row r="55" ht="15.75" customHeight="1">
      <c r="A55" s="51"/>
      <c r="B55" s="62" t="s">
        <v>137</v>
      </c>
      <c r="C55" s="84">
        <v>0.0</v>
      </c>
      <c r="D55" s="85">
        <v>0.0</v>
      </c>
    </row>
    <row r="56" ht="15.75" customHeight="1"/>
    <row r="57" ht="15.75" customHeight="1"/>
    <row r="58" ht="18.0" customHeight="1">
      <c r="A58" s="32" t="s">
        <v>72</v>
      </c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B2:G2"/>
    <mergeCell ref="B3:G3"/>
    <mergeCell ref="B5:C5"/>
    <mergeCell ref="D5:E5"/>
    <mergeCell ref="F5:G5"/>
    <mergeCell ref="D6:E6"/>
    <mergeCell ref="F6:G6"/>
    <mergeCell ref="B11:G11"/>
    <mergeCell ref="A58:G58"/>
    <mergeCell ref="B6:C6"/>
    <mergeCell ref="B8:C8"/>
    <mergeCell ref="D8:E8"/>
    <mergeCell ref="F8:G8"/>
    <mergeCell ref="B9:C9"/>
    <mergeCell ref="D9:E9"/>
    <mergeCell ref="F9:G9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66F1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26" width="8.71"/>
  </cols>
  <sheetData>
    <row r="1" ht="37.5" customHeight="1">
      <c r="A1" s="88" t="s">
        <v>138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5"/>
    </row>
    <row r="2" ht="21.75" customHeight="1">
      <c r="A2" s="90" t="s">
        <v>139</v>
      </c>
    </row>
    <row r="3" ht="6.0" customHeight="1"/>
    <row r="4" ht="27.75" customHeight="1">
      <c r="A4" s="91" t="s">
        <v>140</v>
      </c>
      <c r="B4" s="91" t="s">
        <v>123</v>
      </c>
      <c r="C4" s="91" t="s">
        <v>141</v>
      </c>
      <c r="D4" s="91" t="s">
        <v>142</v>
      </c>
      <c r="E4" s="91" t="s">
        <v>143</v>
      </c>
      <c r="F4" s="91" t="s">
        <v>144</v>
      </c>
      <c r="G4" s="91" t="s">
        <v>118</v>
      </c>
      <c r="H4" s="91" t="s">
        <v>145</v>
      </c>
      <c r="I4" s="91" t="s">
        <v>125</v>
      </c>
      <c r="J4" s="91" t="s">
        <v>146</v>
      </c>
      <c r="K4" s="91" t="s">
        <v>91</v>
      </c>
      <c r="L4" s="91" t="s">
        <v>136</v>
      </c>
      <c r="M4" s="91" t="s">
        <v>147</v>
      </c>
    </row>
    <row r="5" ht="24.0" customHeight="1">
      <c r="A5" s="92" t="s">
        <v>148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5"/>
    </row>
    <row r="6" ht="21.75" customHeight="1">
      <c r="A6" s="93" t="s">
        <v>149</v>
      </c>
      <c r="B6" s="74" t="s">
        <v>150</v>
      </c>
      <c r="C6" s="57" t="s">
        <v>151</v>
      </c>
      <c r="D6" s="57" t="s">
        <v>152</v>
      </c>
      <c r="E6" s="57"/>
      <c r="F6" s="57"/>
      <c r="G6" s="57" t="s">
        <v>75</v>
      </c>
      <c r="H6" s="57" t="s">
        <v>153</v>
      </c>
      <c r="I6" s="94" t="s">
        <v>154</v>
      </c>
      <c r="J6" s="59">
        <v>950.0</v>
      </c>
      <c r="K6" s="95">
        <v>875.0</v>
      </c>
      <c r="L6" s="96">
        <f t="shared" ref="L6:L11" si="1">IF(J6&gt;0,(J6-K6)/J6,"")</f>
        <v>0.07894736842</v>
      </c>
      <c r="M6" s="97"/>
    </row>
    <row r="7" ht="21.75" customHeight="1">
      <c r="A7" s="98" t="s">
        <v>155</v>
      </c>
      <c r="B7" s="78" t="s">
        <v>150</v>
      </c>
      <c r="C7" s="51" t="s">
        <v>151</v>
      </c>
      <c r="D7" s="51" t="s">
        <v>152</v>
      </c>
      <c r="E7" s="51"/>
      <c r="F7" s="51"/>
      <c r="G7" s="51" t="s">
        <v>75</v>
      </c>
      <c r="H7" s="51" t="s">
        <v>153</v>
      </c>
      <c r="I7" s="99" t="s">
        <v>81</v>
      </c>
      <c r="J7" s="53">
        <v>950.0</v>
      </c>
      <c r="K7" s="95">
        <v>875.0</v>
      </c>
      <c r="L7" s="100">
        <f t="shared" si="1"/>
        <v>0.07894736842</v>
      </c>
      <c r="M7" s="101"/>
    </row>
    <row r="8" ht="21.75" customHeight="1">
      <c r="A8" s="93" t="s">
        <v>156</v>
      </c>
      <c r="B8" s="74" t="s">
        <v>150</v>
      </c>
      <c r="C8" s="57" t="s">
        <v>151</v>
      </c>
      <c r="D8" s="57" t="s">
        <v>152</v>
      </c>
      <c r="E8" s="57"/>
      <c r="F8" s="57"/>
      <c r="G8" s="57" t="s">
        <v>75</v>
      </c>
      <c r="H8" s="57" t="s">
        <v>153</v>
      </c>
      <c r="I8" s="99" t="s">
        <v>81</v>
      </c>
      <c r="J8" s="59">
        <v>950.0</v>
      </c>
      <c r="K8" s="95">
        <v>875.0</v>
      </c>
      <c r="L8" s="96">
        <f t="shared" si="1"/>
        <v>0.07894736842</v>
      </c>
      <c r="M8" s="97"/>
    </row>
    <row r="9" ht="21.75" customHeight="1">
      <c r="A9" s="98" t="s">
        <v>157</v>
      </c>
      <c r="B9" s="78" t="s">
        <v>150</v>
      </c>
      <c r="C9" s="51" t="s">
        <v>151</v>
      </c>
      <c r="D9" s="51" t="s">
        <v>152</v>
      </c>
      <c r="E9" s="51"/>
      <c r="F9" s="51"/>
      <c r="G9" s="51" t="s">
        <v>75</v>
      </c>
      <c r="H9" s="51" t="s">
        <v>153</v>
      </c>
      <c r="I9" s="99" t="s">
        <v>81</v>
      </c>
      <c r="J9" s="53">
        <v>950.0</v>
      </c>
      <c r="K9" s="95">
        <v>875.0</v>
      </c>
      <c r="L9" s="100">
        <f t="shared" si="1"/>
        <v>0.07894736842</v>
      </c>
      <c r="M9" s="101"/>
    </row>
    <row r="10" ht="21.75" customHeight="1">
      <c r="A10" s="93" t="s">
        <v>158</v>
      </c>
      <c r="B10" s="74" t="s">
        <v>150</v>
      </c>
      <c r="C10" s="57" t="s">
        <v>151</v>
      </c>
      <c r="D10" s="57" t="s">
        <v>152</v>
      </c>
      <c r="E10" s="57"/>
      <c r="F10" s="57"/>
      <c r="G10" s="57" t="s">
        <v>75</v>
      </c>
      <c r="H10" s="57" t="s">
        <v>153</v>
      </c>
      <c r="I10" s="99" t="s">
        <v>81</v>
      </c>
      <c r="J10" s="59">
        <v>950.0</v>
      </c>
      <c r="K10" s="95">
        <v>875.0</v>
      </c>
      <c r="L10" s="96">
        <f t="shared" si="1"/>
        <v>0.07894736842</v>
      </c>
      <c r="M10" s="97"/>
    </row>
    <row r="11" ht="21.75" customHeight="1">
      <c r="A11" s="98" t="s">
        <v>159</v>
      </c>
      <c r="B11" s="78" t="s">
        <v>150</v>
      </c>
      <c r="C11" s="51" t="s">
        <v>151</v>
      </c>
      <c r="D11" s="51" t="s">
        <v>152</v>
      </c>
      <c r="E11" s="51"/>
      <c r="F11" s="51"/>
      <c r="G11" s="51" t="s">
        <v>75</v>
      </c>
      <c r="H11" s="51" t="s">
        <v>153</v>
      </c>
      <c r="I11" s="99" t="s">
        <v>81</v>
      </c>
      <c r="J11" s="53">
        <v>950.0</v>
      </c>
      <c r="K11" s="95">
        <v>875.0</v>
      </c>
      <c r="L11" s="100">
        <f t="shared" si="1"/>
        <v>0.07894736842</v>
      </c>
      <c r="M11" s="101"/>
    </row>
    <row r="12" ht="24.0" customHeight="1">
      <c r="A12" s="92" t="s">
        <v>160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5"/>
    </row>
    <row r="13" ht="21.75" customHeight="1">
      <c r="A13" s="93" t="s">
        <v>161</v>
      </c>
      <c r="B13" s="74" t="s">
        <v>162</v>
      </c>
      <c r="C13" s="57" t="s">
        <v>151</v>
      </c>
      <c r="D13" s="57" t="s">
        <v>163</v>
      </c>
      <c r="E13" s="57"/>
      <c r="F13" s="57"/>
      <c r="G13" s="57" t="s">
        <v>75</v>
      </c>
      <c r="H13" s="57" t="s">
        <v>153</v>
      </c>
      <c r="I13" s="99" t="s">
        <v>81</v>
      </c>
      <c r="J13" s="59">
        <v>4590.0</v>
      </c>
      <c r="K13" s="95">
        <v>2500.0</v>
      </c>
      <c r="L13" s="96">
        <f t="shared" ref="L13:L22" si="2">IF(J13&gt;0,(J13-K13)/J13,"")</f>
        <v>0.4553376906</v>
      </c>
      <c r="M13" s="97"/>
    </row>
    <row r="14" ht="21.75" customHeight="1">
      <c r="A14" s="98" t="s">
        <v>164</v>
      </c>
      <c r="B14" s="78" t="s">
        <v>162</v>
      </c>
      <c r="C14" s="51" t="s">
        <v>151</v>
      </c>
      <c r="D14" s="51" t="s">
        <v>163</v>
      </c>
      <c r="E14" s="51"/>
      <c r="F14" s="51"/>
      <c r="G14" s="51" t="s">
        <v>75</v>
      </c>
      <c r="H14" s="51" t="s">
        <v>153</v>
      </c>
      <c r="I14" s="99" t="s">
        <v>81</v>
      </c>
      <c r="J14" s="53">
        <v>4590.0</v>
      </c>
      <c r="K14" s="95">
        <v>2500.0</v>
      </c>
      <c r="L14" s="100">
        <f t="shared" si="2"/>
        <v>0.4553376906</v>
      </c>
      <c r="M14" s="101"/>
    </row>
    <row r="15" ht="21.75" customHeight="1">
      <c r="A15" s="93" t="s">
        <v>165</v>
      </c>
      <c r="B15" s="74" t="s">
        <v>162</v>
      </c>
      <c r="C15" s="57" t="s">
        <v>151</v>
      </c>
      <c r="D15" s="57" t="s">
        <v>163</v>
      </c>
      <c r="E15" s="57"/>
      <c r="F15" s="57"/>
      <c r="G15" s="57" t="s">
        <v>75</v>
      </c>
      <c r="H15" s="57" t="s">
        <v>153</v>
      </c>
      <c r="I15" s="99" t="s">
        <v>81</v>
      </c>
      <c r="J15" s="59">
        <v>4590.0</v>
      </c>
      <c r="K15" s="95">
        <v>2500.0</v>
      </c>
      <c r="L15" s="96">
        <f t="shared" si="2"/>
        <v>0.4553376906</v>
      </c>
      <c r="M15" s="97"/>
    </row>
    <row r="16" ht="21.75" customHeight="1">
      <c r="A16" s="98" t="s">
        <v>166</v>
      </c>
      <c r="B16" s="78" t="s">
        <v>162</v>
      </c>
      <c r="C16" s="51" t="s">
        <v>151</v>
      </c>
      <c r="D16" s="51" t="s">
        <v>163</v>
      </c>
      <c r="E16" s="51"/>
      <c r="F16" s="51"/>
      <c r="G16" s="51" t="s">
        <v>75</v>
      </c>
      <c r="H16" s="51" t="s">
        <v>153</v>
      </c>
      <c r="I16" s="99" t="s">
        <v>81</v>
      </c>
      <c r="J16" s="53">
        <v>4590.0</v>
      </c>
      <c r="K16" s="95">
        <v>2500.0</v>
      </c>
      <c r="L16" s="100">
        <f t="shared" si="2"/>
        <v>0.4553376906</v>
      </c>
      <c r="M16" s="101"/>
    </row>
    <row r="17" ht="21.75" customHeight="1">
      <c r="A17" s="93" t="s">
        <v>167</v>
      </c>
      <c r="B17" s="74" t="s">
        <v>162</v>
      </c>
      <c r="C17" s="57" t="s">
        <v>151</v>
      </c>
      <c r="D17" s="57" t="s">
        <v>163</v>
      </c>
      <c r="E17" s="57"/>
      <c r="F17" s="57"/>
      <c r="G17" s="57" t="s">
        <v>75</v>
      </c>
      <c r="H17" s="57" t="s">
        <v>153</v>
      </c>
      <c r="I17" s="99" t="s">
        <v>81</v>
      </c>
      <c r="J17" s="59">
        <v>4590.0</v>
      </c>
      <c r="K17" s="95">
        <v>2500.0</v>
      </c>
      <c r="L17" s="96">
        <f t="shared" si="2"/>
        <v>0.4553376906</v>
      </c>
      <c r="M17" s="97"/>
    </row>
    <row r="18" ht="21.75" customHeight="1">
      <c r="A18" s="98" t="s">
        <v>168</v>
      </c>
      <c r="B18" s="78" t="s">
        <v>162</v>
      </c>
      <c r="C18" s="51" t="s">
        <v>151</v>
      </c>
      <c r="D18" s="51" t="s">
        <v>163</v>
      </c>
      <c r="E18" s="51"/>
      <c r="F18" s="51"/>
      <c r="G18" s="51" t="s">
        <v>75</v>
      </c>
      <c r="H18" s="51" t="s">
        <v>153</v>
      </c>
      <c r="I18" s="99" t="s">
        <v>81</v>
      </c>
      <c r="J18" s="53">
        <v>4590.0</v>
      </c>
      <c r="K18" s="95">
        <v>2500.0</v>
      </c>
      <c r="L18" s="100">
        <f t="shared" si="2"/>
        <v>0.4553376906</v>
      </c>
      <c r="M18" s="101"/>
    </row>
    <row r="19" ht="21.75" customHeight="1">
      <c r="A19" s="93" t="s">
        <v>169</v>
      </c>
      <c r="B19" s="74" t="s">
        <v>162</v>
      </c>
      <c r="C19" s="57" t="s">
        <v>151</v>
      </c>
      <c r="D19" s="57" t="s">
        <v>163</v>
      </c>
      <c r="E19" s="57"/>
      <c r="F19" s="57"/>
      <c r="G19" s="57" t="s">
        <v>75</v>
      </c>
      <c r="H19" s="57" t="s">
        <v>153</v>
      </c>
      <c r="I19" s="99" t="s">
        <v>81</v>
      </c>
      <c r="J19" s="59">
        <v>4590.0</v>
      </c>
      <c r="K19" s="95">
        <v>2500.0</v>
      </c>
      <c r="L19" s="96">
        <f t="shared" si="2"/>
        <v>0.4553376906</v>
      </c>
      <c r="M19" s="97"/>
    </row>
    <row r="20" ht="21.75" customHeight="1">
      <c r="A20" s="98" t="s">
        <v>170</v>
      </c>
      <c r="B20" s="78" t="s">
        <v>162</v>
      </c>
      <c r="C20" s="51" t="s">
        <v>151</v>
      </c>
      <c r="D20" s="51" t="s">
        <v>163</v>
      </c>
      <c r="E20" s="51"/>
      <c r="F20" s="51"/>
      <c r="G20" s="51" t="s">
        <v>75</v>
      </c>
      <c r="H20" s="51" t="s">
        <v>153</v>
      </c>
      <c r="I20" s="99" t="s">
        <v>81</v>
      </c>
      <c r="J20" s="53">
        <v>4590.0</v>
      </c>
      <c r="K20" s="95">
        <v>2500.0</v>
      </c>
      <c r="L20" s="100">
        <f t="shared" si="2"/>
        <v>0.4553376906</v>
      </c>
      <c r="M20" s="101"/>
    </row>
    <row r="21" ht="21.75" customHeight="1">
      <c r="A21" s="93" t="s">
        <v>171</v>
      </c>
      <c r="B21" s="74" t="s">
        <v>162</v>
      </c>
      <c r="C21" s="57" t="s">
        <v>151</v>
      </c>
      <c r="D21" s="57" t="s">
        <v>163</v>
      </c>
      <c r="E21" s="57"/>
      <c r="F21" s="57"/>
      <c r="G21" s="57" t="s">
        <v>75</v>
      </c>
      <c r="H21" s="57" t="s">
        <v>153</v>
      </c>
      <c r="I21" s="99" t="s">
        <v>81</v>
      </c>
      <c r="J21" s="59">
        <v>4590.0</v>
      </c>
      <c r="K21" s="95">
        <v>2500.0</v>
      </c>
      <c r="L21" s="96">
        <f t="shared" si="2"/>
        <v>0.4553376906</v>
      </c>
      <c r="M21" s="97"/>
    </row>
    <row r="22" ht="21.75" customHeight="1">
      <c r="A22" s="98" t="s">
        <v>172</v>
      </c>
      <c r="B22" s="78" t="s">
        <v>162</v>
      </c>
      <c r="C22" s="51" t="s">
        <v>151</v>
      </c>
      <c r="D22" s="51" t="s">
        <v>163</v>
      </c>
      <c r="E22" s="51"/>
      <c r="F22" s="51"/>
      <c r="G22" s="51" t="s">
        <v>75</v>
      </c>
      <c r="H22" s="51" t="s">
        <v>153</v>
      </c>
      <c r="I22" s="99" t="s">
        <v>81</v>
      </c>
      <c r="J22" s="53">
        <v>4590.0</v>
      </c>
      <c r="K22" s="95">
        <v>2500.0</v>
      </c>
      <c r="L22" s="100">
        <f t="shared" si="2"/>
        <v>0.4553376906</v>
      </c>
      <c r="M22" s="101"/>
    </row>
    <row r="23" ht="24.0" customHeight="1">
      <c r="A23" s="92" t="s">
        <v>173</v>
      </c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5"/>
    </row>
    <row r="24" ht="21.75" customHeight="1">
      <c r="A24" s="93" t="s">
        <v>174</v>
      </c>
      <c r="B24" s="74" t="s">
        <v>175</v>
      </c>
      <c r="C24" s="57"/>
      <c r="D24" s="57" t="s">
        <v>176</v>
      </c>
      <c r="E24" s="57" t="s">
        <v>177</v>
      </c>
      <c r="F24" s="57"/>
      <c r="G24" s="57" t="s">
        <v>75</v>
      </c>
      <c r="H24" s="57" t="s">
        <v>153</v>
      </c>
      <c r="I24" s="99" t="s">
        <v>81</v>
      </c>
      <c r="J24" s="59">
        <v>799.0</v>
      </c>
      <c r="K24" s="95">
        <v>639.0</v>
      </c>
      <c r="L24" s="96">
        <f>IF(J24&gt;0,(J24-K24)/J24,"")</f>
        <v>0.2002503129</v>
      </c>
      <c r="M24" s="97"/>
    </row>
    <row r="25" ht="24.0" customHeight="1">
      <c r="A25" s="92" t="s">
        <v>178</v>
      </c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5"/>
    </row>
    <row r="26" ht="21.75" customHeight="1">
      <c r="A26" s="98" t="s">
        <v>179</v>
      </c>
      <c r="B26" s="78" t="s">
        <v>180</v>
      </c>
      <c r="C26" s="51"/>
      <c r="D26" s="51" t="s">
        <v>181</v>
      </c>
      <c r="E26" s="51"/>
      <c r="F26" s="51"/>
      <c r="G26" s="51" t="s">
        <v>75</v>
      </c>
      <c r="H26" s="51" t="s">
        <v>153</v>
      </c>
      <c r="I26" s="99" t="s">
        <v>81</v>
      </c>
      <c r="J26" s="53">
        <v>2224.0</v>
      </c>
      <c r="K26" s="95">
        <v>2224.0</v>
      </c>
      <c r="L26" s="100">
        <f>IF(J26&gt;0,(J26-K26)/J26,"")</f>
        <v>0</v>
      </c>
      <c r="M26" s="101"/>
    </row>
    <row r="27" ht="24.0" customHeight="1">
      <c r="A27" s="92" t="s">
        <v>182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5"/>
    </row>
    <row r="28" ht="21.75" customHeight="1">
      <c r="A28" s="93" t="s">
        <v>183</v>
      </c>
      <c r="B28" s="74" t="s">
        <v>184</v>
      </c>
      <c r="C28" s="57"/>
      <c r="D28" s="57" t="s">
        <v>185</v>
      </c>
      <c r="E28" s="57"/>
      <c r="F28" s="57"/>
      <c r="G28" s="57" t="s">
        <v>75</v>
      </c>
      <c r="H28" s="57" t="s">
        <v>153</v>
      </c>
      <c r="I28" s="99" t="s">
        <v>81</v>
      </c>
      <c r="J28" s="59">
        <v>799.0</v>
      </c>
      <c r="K28" s="95">
        <v>450.0</v>
      </c>
      <c r="L28" s="96">
        <f t="shared" ref="L28:L29" si="3">IF(J28&gt;0,(J28-K28)/J28,"")</f>
        <v>0.436795995</v>
      </c>
      <c r="M28" s="97"/>
    </row>
    <row r="29" ht="21.75" customHeight="1">
      <c r="A29" s="98" t="s">
        <v>186</v>
      </c>
      <c r="B29" s="78" t="s">
        <v>184</v>
      </c>
      <c r="C29" s="51"/>
      <c r="D29" s="51" t="s">
        <v>185</v>
      </c>
      <c r="E29" s="51"/>
      <c r="F29" s="51"/>
      <c r="G29" s="51" t="s">
        <v>75</v>
      </c>
      <c r="H29" s="51" t="s">
        <v>153</v>
      </c>
      <c r="I29" s="99" t="s">
        <v>81</v>
      </c>
      <c r="J29" s="53">
        <v>799.0</v>
      </c>
      <c r="K29" s="95">
        <v>450.0</v>
      </c>
      <c r="L29" s="100">
        <f t="shared" si="3"/>
        <v>0.436795995</v>
      </c>
      <c r="M29" s="101"/>
    </row>
    <row r="30" ht="24.0" customHeight="1">
      <c r="A30" s="92" t="s">
        <v>187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5"/>
    </row>
    <row r="31" ht="21.75" customHeight="1">
      <c r="A31" s="93" t="s">
        <v>188</v>
      </c>
      <c r="B31" s="74" t="s">
        <v>189</v>
      </c>
      <c r="C31" s="57" t="s">
        <v>190</v>
      </c>
      <c r="D31" s="57" t="s">
        <v>191</v>
      </c>
      <c r="E31" s="57"/>
      <c r="F31" s="57"/>
      <c r="G31" s="57" t="s">
        <v>75</v>
      </c>
      <c r="H31" s="57" t="s">
        <v>153</v>
      </c>
      <c r="I31" s="102" t="s">
        <v>132</v>
      </c>
      <c r="J31" s="59">
        <v>949.0</v>
      </c>
      <c r="K31" s="95">
        <v>947.15</v>
      </c>
      <c r="L31" s="96">
        <f>IF(J31&gt;0,(J31-K31)/J31,"")</f>
        <v>0.001949420443</v>
      </c>
      <c r="M31" s="97"/>
    </row>
    <row r="32" ht="24.0" customHeight="1">
      <c r="A32" s="92" t="s">
        <v>192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5"/>
    </row>
    <row r="33" ht="21.75" customHeight="1">
      <c r="A33" s="98" t="s">
        <v>193</v>
      </c>
      <c r="B33" s="78" t="s">
        <v>194</v>
      </c>
      <c r="C33" s="51" t="s">
        <v>151</v>
      </c>
      <c r="D33" s="51" t="s">
        <v>195</v>
      </c>
      <c r="E33" s="51"/>
      <c r="F33" s="51"/>
      <c r="G33" s="51" t="s">
        <v>75</v>
      </c>
      <c r="H33" s="51" t="s">
        <v>153</v>
      </c>
      <c r="I33" s="99" t="s">
        <v>81</v>
      </c>
      <c r="J33" s="53">
        <v>1200.0</v>
      </c>
      <c r="K33" s="95">
        <v>120.0</v>
      </c>
      <c r="L33" s="100">
        <f t="shared" ref="L33:L69" si="4">IF(J33&gt;0,(J33-K33)/J33,"")</f>
        <v>0.9</v>
      </c>
      <c r="M33" s="101"/>
    </row>
    <row r="34" ht="21.75" customHeight="1">
      <c r="A34" s="93" t="s">
        <v>196</v>
      </c>
      <c r="B34" s="74" t="s">
        <v>194</v>
      </c>
      <c r="C34" s="57" t="s">
        <v>151</v>
      </c>
      <c r="D34" s="57" t="s">
        <v>195</v>
      </c>
      <c r="E34" s="57"/>
      <c r="F34" s="57"/>
      <c r="G34" s="57" t="s">
        <v>75</v>
      </c>
      <c r="H34" s="57" t="s">
        <v>153</v>
      </c>
      <c r="I34" s="99" t="s">
        <v>81</v>
      </c>
      <c r="J34" s="59">
        <v>1200.0</v>
      </c>
      <c r="K34" s="95">
        <v>120.0</v>
      </c>
      <c r="L34" s="96">
        <f t="shared" si="4"/>
        <v>0.9</v>
      </c>
      <c r="M34" s="97"/>
    </row>
    <row r="35" ht="21.75" customHeight="1">
      <c r="A35" s="98" t="s">
        <v>197</v>
      </c>
      <c r="B35" s="78" t="s">
        <v>194</v>
      </c>
      <c r="C35" s="51" t="s">
        <v>151</v>
      </c>
      <c r="D35" s="51" t="s">
        <v>195</v>
      </c>
      <c r="E35" s="51"/>
      <c r="F35" s="51"/>
      <c r="G35" s="51" t="s">
        <v>75</v>
      </c>
      <c r="H35" s="51" t="s">
        <v>153</v>
      </c>
      <c r="I35" s="99" t="s">
        <v>81</v>
      </c>
      <c r="J35" s="53">
        <v>1200.0</v>
      </c>
      <c r="K35" s="95">
        <v>120.0</v>
      </c>
      <c r="L35" s="100">
        <f t="shared" si="4"/>
        <v>0.9</v>
      </c>
      <c r="M35" s="101"/>
    </row>
    <row r="36" ht="21.75" customHeight="1">
      <c r="A36" s="93" t="s">
        <v>198</v>
      </c>
      <c r="B36" s="74" t="s">
        <v>199</v>
      </c>
      <c r="C36" s="57" t="s">
        <v>200</v>
      </c>
      <c r="D36" s="57" t="s">
        <v>195</v>
      </c>
      <c r="E36" s="57"/>
      <c r="F36" s="57"/>
      <c r="G36" s="57" t="s">
        <v>75</v>
      </c>
      <c r="H36" s="57" t="s">
        <v>153</v>
      </c>
      <c r="I36" s="99" t="s">
        <v>81</v>
      </c>
      <c r="J36" s="59">
        <v>1015.0</v>
      </c>
      <c r="K36" s="95">
        <v>508.94</v>
      </c>
      <c r="L36" s="96">
        <f t="shared" si="4"/>
        <v>0.4985812808</v>
      </c>
      <c r="M36" s="97"/>
    </row>
    <row r="37" ht="21.75" customHeight="1">
      <c r="A37" s="98" t="s">
        <v>201</v>
      </c>
      <c r="B37" s="78" t="s">
        <v>202</v>
      </c>
      <c r="C37" s="51" t="s">
        <v>151</v>
      </c>
      <c r="D37" s="51" t="s">
        <v>195</v>
      </c>
      <c r="E37" s="51"/>
      <c r="F37" s="51"/>
      <c r="G37" s="51" t="s">
        <v>75</v>
      </c>
      <c r="H37" s="51" t="s">
        <v>153</v>
      </c>
      <c r="I37" s="99" t="s">
        <v>81</v>
      </c>
      <c r="J37" s="53">
        <v>1200.0</v>
      </c>
      <c r="K37" s="95">
        <v>819.99</v>
      </c>
      <c r="L37" s="100">
        <f t="shared" si="4"/>
        <v>0.316675</v>
      </c>
      <c r="M37" s="101"/>
    </row>
    <row r="38" ht="21.75" customHeight="1">
      <c r="A38" s="93" t="s">
        <v>203</v>
      </c>
      <c r="B38" s="74" t="s">
        <v>202</v>
      </c>
      <c r="C38" s="57" t="s">
        <v>151</v>
      </c>
      <c r="D38" s="57" t="s">
        <v>195</v>
      </c>
      <c r="E38" s="57"/>
      <c r="F38" s="57"/>
      <c r="G38" s="57" t="s">
        <v>75</v>
      </c>
      <c r="H38" s="57" t="s">
        <v>153</v>
      </c>
      <c r="I38" s="99" t="s">
        <v>81</v>
      </c>
      <c r="J38" s="59">
        <v>1200.0</v>
      </c>
      <c r="K38" s="95">
        <v>819.99</v>
      </c>
      <c r="L38" s="96">
        <f t="shared" si="4"/>
        <v>0.316675</v>
      </c>
      <c r="M38" s="97"/>
    </row>
    <row r="39" ht="21.75" customHeight="1">
      <c r="A39" s="98" t="s">
        <v>204</v>
      </c>
      <c r="B39" s="78" t="s">
        <v>202</v>
      </c>
      <c r="C39" s="51" t="s">
        <v>151</v>
      </c>
      <c r="D39" s="51" t="s">
        <v>195</v>
      </c>
      <c r="E39" s="51"/>
      <c r="F39" s="51"/>
      <c r="G39" s="51" t="s">
        <v>75</v>
      </c>
      <c r="H39" s="51" t="s">
        <v>153</v>
      </c>
      <c r="I39" s="99" t="s">
        <v>81</v>
      </c>
      <c r="J39" s="53">
        <v>1200.0</v>
      </c>
      <c r="K39" s="95">
        <v>819.99</v>
      </c>
      <c r="L39" s="100">
        <f t="shared" si="4"/>
        <v>0.316675</v>
      </c>
      <c r="M39" s="101"/>
    </row>
    <row r="40" ht="21.75" customHeight="1">
      <c r="A40" s="93" t="s">
        <v>205</v>
      </c>
      <c r="B40" s="74" t="s">
        <v>202</v>
      </c>
      <c r="C40" s="57" t="s">
        <v>151</v>
      </c>
      <c r="D40" s="57" t="s">
        <v>195</v>
      </c>
      <c r="E40" s="57"/>
      <c r="F40" s="57"/>
      <c r="G40" s="57" t="s">
        <v>75</v>
      </c>
      <c r="H40" s="57" t="s">
        <v>153</v>
      </c>
      <c r="I40" s="99" t="s">
        <v>81</v>
      </c>
      <c r="J40" s="59">
        <v>1200.0</v>
      </c>
      <c r="K40" s="95">
        <v>819.99</v>
      </c>
      <c r="L40" s="96">
        <f t="shared" si="4"/>
        <v>0.316675</v>
      </c>
      <c r="M40" s="97"/>
    </row>
    <row r="41" ht="21.75" customHeight="1">
      <c r="A41" s="98" t="s">
        <v>206</v>
      </c>
      <c r="B41" s="78" t="s">
        <v>202</v>
      </c>
      <c r="C41" s="51" t="s">
        <v>151</v>
      </c>
      <c r="D41" s="51" t="s">
        <v>195</v>
      </c>
      <c r="E41" s="51"/>
      <c r="F41" s="51"/>
      <c r="G41" s="51" t="s">
        <v>75</v>
      </c>
      <c r="H41" s="51" t="s">
        <v>153</v>
      </c>
      <c r="I41" s="99" t="s">
        <v>81</v>
      </c>
      <c r="J41" s="53">
        <v>1200.0</v>
      </c>
      <c r="K41" s="95">
        <v>819.99</v>
      </c>
      <c r="L41" s="100">
        <f t="shared" si="4"/>
        <v>0.316675</v>
      </c>
      <c r="M41" s="101"/>
    </row>
    <row r="42" ht="21.75" customHeight="1">
      <c r="A42" s="93" t="s">
        <v>207</v>
      </c>
      <c r="B42" s="74" t="s">
        <v>202</v>
      </c>
      <c r="C42" s="57" t="s">
        <v>151</v>
      </c>
      <c r="D42" s="57" t="s">
        <v>195</v>
      </c>
      <c r="E42" s="57"/>
      <c r="F42" s="57"/>
      <c r="G42" s="57" t="s">
        <v>75</v>
      </c>
      <c r="H42" s="57" t="s">
        <v>153</v>
      </c>
      <c r="I42" s="99" t="s">
        <v>81</v>
      </c>
      <c r="J42" s="59">
        <v>1200.0</v>
      </c>
      <c r="K42" s="95">
        <v>819.99</v>
      </c>
      <c r="L42" s="96">
        <f t="shared" si="4"/>
        <v>0.316675</v>
      </c>
      <c r="M42" s="97"/>
    </row>
    <row r="43" ht="21.75" customHeight="1">
      <c r="A43" s="98" t="s">
        <v>208</v>
      </c>
      <c r="B43" s="78" t="s">
        <v>202</v>
      </c>
      <c r="C43" s="51" t="s">
        <v>151</v>
      </c>
      <c r="D43" s="51" t="s">
        <v>195</v>
      </c>
      <c r="E43" s="51"/>
      <c r="F43" s="51"/>
      <c r="G43" s="51" t="s">
        <v>75</v>
      </c>
      <c r="H43" s="51" t="s">
        <v>153</v>
      </c>
      <c r="I43" s="99" t="s">
        <v>81</v>
      </c>
      <c r="J43" s="53">
        <v>1200.0</v>
      </c>
      <c r="K43" s="95">
        <v>819.99</v>
      </c>
      <c r="L43" s="100">
        <f t="shared" si="4"/>
        <v>0.316675</v>
      </c>
      <c r="M43" s="101"/>
    </row>
    <row r="44" ht="21.75" customHeight="1">
      <c r="A44" s="93" t="s">
        <v>209</v>
      </c>
      <c r="B44" s="74" t="s">
        <v>202</v>
      </c>
      <c r="C44" s="57" t="s">
        <v>151</v>
      </c>
      <c r="D44" s="57" t="s">
        <v>195</v>
      </c>
      <c r="E44" s="57"/>
      <c r="F44" s="57"/>
      <c r="G44" s="57" t="s">
        <v>75</v>
      </c>
      <c r="H44" s="57" t="s">
        <v>153</v>
      </c>
      <c r="I44" s="99" t="s">
        <v>81</v>
      </c>
      <c r="J44" s="59">
        <v>1200.0</v>
      </c>
      <c r="K44" s="95">
        <v>819.99</v>
      </c>
      <c r="L44" s="96">
        <f t="shared" si="4"/>
        <v>0.316675</v>
      </c>
      <c r="M44" s="97"/>
    </row>
    <row r="45" ht="21.75" customHeight="1">
      <c r="A45" s="98" t="s">
        <v>210</v>
      </c>
      <c r="B45" s="78" t="s">
        <v>202</v>
      </c>
      <c r="C45" s="51" t="s">
        <v>151</v>
      </c>
      <c r="D45" s="51" t="s">
        <v>195</v>
      </c>
      <c r="E45" s="51"/>
      <c r="F45" s="51"/>
      <c r="G45" s="51" t="s">
        <v>75</v>
      </c>
      <c r="H45" s="51" t="s">
        <v>153</v>
      </c>
      <c r="I45" s="99" t="s">
        <v>81</v>
      </c>
      <c r="J45" s="53">
        <v>1200.0</v>
      </c>
      <c r="K45" s="95">
        <v>819.99</v>
      </c>
      <c r="L45" s="100">
        <f t="shared" si="4"/>
        <v>0.316675</v>
      </c>
      <c r="M45" s="101"/>
    </row>
    <row r="46" ht="21.75" customHeight="1">
      <c r="A46" s="93" t="s">
        <v>211</v>
      </c>
      <c r="B46" s="74" t="s">
        <v>202</v>
      </c>
      <c r="C46" s="57" t="s">
        <v>151</v>
      </c>
      <c r="D46" s="57" t="s">
        <v>195</v>
      </c>
      <c r="E46" s="57"/>
      <c r="F46" s="57"/>
      <c r="G46" s="57" t="s">
        <v>75</v>
      </c>
      <c r="H46" s="57" t="s">
        <v>153</v>
      </c>
      <c r="I46" s="99" t="s">
        <v>81</v>
      </c>
      <c r="J46" s="59">
        <v>1200.0</v>
      </c>
      <c r="K46" s="95">
        <v>819.99</v>
      </c>
      <c r="L46" s="96">
        <f t="shared" si="4"/>
        <v>0.316675</v>
      </c>
      <c r="M46" s="97"/>
    </row>
    <row r="47" ht="21.75" customHeight="1">
      <c r="A47" s="98" t="s">
        <v>212</v>
      </c>
      <c r="B47" s="78" t="s">
        <v>202</v>
      </c>
      <c r="C47" s="51" t="s">
        <v>151</v>
      </c>
      <c r="D47" s="51" t="s">
        <v>195</v>
      </c>
      <c r="E47" s="51"/>
      <c r="F47" s="51"/>
      <c r="G47" s="51" t="s">
        <v>75</v>
      </c>
      <c r="H47" s="51" t="s">
        <v>153</v>
      </c>
      <c r="I47" s="99" t="s">
        <v>81</v>
      </c>
      <c r="J47" s="53">
        <v>1200.0</v>
      </c>
      <c r="K47" s="95">
        <v>819.99</v>
      </c>
      <c r="L47" s="100">
        <f t="shared" si="4"/>
        <v>0.316675</v>
      </c>
      <c r="M47" s="101"/>
    </row>
    <row r="48" ht="21.75" customHeight="1">
      <c r="A48" s="93" t="s">
        <v>213</v>
      </c>
      <c r="B48" s="74" t="s">
        <v>202</v>
      </c>
      <c r="C48" s="57" t="s">
        <v>151</v>
      </c>
      <c r="D48" s="57" t="s">
        <v>195</v>
      </c>
      <c r="E48" s="57"/>
      <c r="F48" s="57"/>
      <c r="G48" s="57" t="s">
        <v>75</v>
      </c>
      <c r="H48" s="57" t="s">
        <v>153</v>
      </c>
      <c r="I48" s="99" t="s">
        <v>81</v>
      </c>
      <c r="J48" s="59">
        <v>1200.0</v>
      </c>
      <c r="K48" s="95">
        <v>819.99</v>
      </c>
      <c r="L48" s="96">
        <f t="shared" si="4"/>
        <v>0.316675</v>
      </c>
      <c r="M48" s="97"/>
    </row>
    <row r="49" ht="21.75" customHeight="1">
      <c r="A49" s="98" t="s">
        <v>214</v>
      </c>
      <c r="B49" s="78" t="s">
        <v>202</v>
      </c>
      <c r="C49" s="51" t="s">
        <v>151</v>
      </c>
      <c r="D49" s="51" t="s">
        <v>195</v>
      </c>
      <c r="E49" s="51"/>
      <c r="F49" s="51"/>
      <c r="G49" s="51" t="s">
        <v>75</v>
      </c>
      <c r="H49" s="51" t="s">
        <v>153</v>
      </c>
      <c r="I49" s="99" t="s">
        <v>81</v>
      </c>
      <c r="J49" s="53">
        <v>1200.0</v>
      </c>
      <c r="K49" s="95">
        <v>819.99</v>
      </c>
      <c r="L49" s="100">
        <f t="shared" si="4"/>
        <v>0.316675</v>
      </c>
      <c r="M49" s="101"/>
    </row>
    <row r="50" ht="21.75" customHeight="1">
      <c r="A50" s="93" t="s">
        <v>215</v>
      </c>
      <c r="B50" s="74" t="s">
        <v>202</v>
      </c>
      <c r="C50" s="57" t="s">
        <v>151</v>
      </c>
      <c r="D50" s="57" t="s">
        <v>195</v>
      </c>
      <c r="E50" s="57"/>
      <c r="F50" s="57"/>
      <c r="G50" s="57" t="s">
        <v>75</v>
      </c>
      <c r="H50" s="57" t="s">
        <v>153</v>
      </c>
      <c r="I50" s="99" t="s">
        <v>81</v>
      </c>
      <c r="J50" s="59">
        <v>1200.0</v>
      </c>
      <c r="K50" s="95">
        <v>819.99</v>
      </c>
      <c r="L50" s="96">
        <f t="shared" si="4"/>
        <v>0.316675</v>
      </c>
      <c r="M50" s="97"/>
    </row>
    <row r="51" ht="21.75" customHeight="1">
      <c r="A51" s="98" t="s">
        <v>216</v>
      </c>
      <c r="B51" s="78" t="s">
        <v>202</v>
      </c>
      <c r="C51" s="51" t="s">
        <v>151</v>
      </c>
      <c r="D51" s="51" t="s">
        <v>195</v>
      </c>
      <c r="E51" s="51"/>
      <c r="F51" s="51"/>
      <c r="G51" s="51" t="s">
        <v>75</v>
      </c>
      <c r="H51" s="51" t="s">
        <v>153</v>
      </c>
      <c r="I51" s="99" t="s">
        <v>81</v>
      </c>
      <c r="J51" s="53">
        <v>1200.0</v>
      </c>
      <c r="K51" s="95">
        <v>819.99</v>
      </c>
      <c r="L51" s="100">
        <f t="shared" si="4"/>
        <v>0.316675</v>
      </c>
      <c r="M51" s="101"/>
    </row>
    <row r="52" ht="21.75" customHeight="1">
      <c r="A52" s="93" t="s">
        <v>217</v>
      </c>
      <c r="B52" s="74" t="s">
        <v>202</v>
      </c>
      <c r="C52" s="57" t="s">
        <v>151</v>
      </c>
      <c r="D52" s="57" t="s">
        <v>195</v>
      </c>
      <c r="E52" s="57"/>
      <c r="F52" s="57"/>
      <c r="G52" s="57" t="s">
        <v>75</v>
      </c>
      <c r="H52" s="57" t="s">
        <v>153</v>
      </c>
      <c r="I52" s="99" t="s">
        <v>81</v>
      </c>
      <c r="J52" s="59">
        <v>1200.0</v>
      </c>
      <c r="K52" s="95">
        <v>819.99</v>
      </c>
      <c r="L52" s="96">
        <f t="shared" si="4"/>
        <v>0.316675</v>
      </c>
      <c r="M52" s="97"/>
    </row>
    <row r="53" ht="21.75" customHeight="1">
      <c r="A53" s="98" t="s">
        <v>218</v>
      </c>
      <c r="B53" s="78" t="s">
        <v>202</v>
      </c>
      <c r="C53" s="51" t="s">
        <v>151</v>
      </c>
      <c r="D53" s="51" t="s">
        <v>195</v>
      </c>
      <c r="E53" s="51"/>
      <c r="F53" s="51"/>
      <c r="G53" s="51" t="s">
        <v>75</v>
      </c>
      <c r="H53" s="51" t="s">
        <v>153</v>
      </c>
      <c r="I53" s="99" t="s">
        <v>81</v>
      </c>
      <c r="J53" s="53">
        <v>1200.0</v>
      </c>
      <c r="K53" s="95">
        <v>819.99</v>
      </c>
      <c r="L53" s="100">
        <f t="shared" si="4"/>
        <v>0.316675</v>
      </c>
      <c r="M53" s="101"/>
    </row>
    <row r="54" ht="21.75" customHeight="1">
      <c r="A54" s="93" t="s">
        <v>219</v>
      </c>
      <c r="B54" s="74" t="s">
        <v>202</v>
      </c>
      <c r="C54" s="57" t="s">
        <v>151</v>
      </c>
      <c r="D54" s="57" t="s">
        <v>195</v>
      </c>
      <c r="E54" s="57"/>
      <c r="F54" s="57"/>
      <c r="G54" s="57" t="s">
        <v>75</v>
      </c>
      <c r="H54" s="57" t="s">
        <v>153</v>
      </c>
      <c r="I54" s="99" t="s">
        <v>81</v>
      </c>
      <c r="J54" s="59">
        <v>1200.0</v>
      </c>
      <c r="K54" s="95">
        <v>819.99</v>
      </c>
      <c r="L54" s="96">
        <f t="shared" si="4"/>
        <v>0.316675</v>
      </c>
      <c r="M54" s="97"/>
    </row>
    <row r="55" ht="21.75" customHeight="1">
      <c r="A55" s="98" t="s">
        <v>220</v>
      </c>
      <c r="B55" s="78" t="s">
        <v>202</v>
      </c>
      <c r="C55" s="51" t="s">
        <v>151</v>
      </c>
      <c r="D55" s="51" t="s">
        <v>195</v>
      </c>
      <c r="E55" s="51"/>
      <c r="F55" s="51"/>
      <c r="G55" s="51" t="s">
        <v>75</v>
      </c>
      <c r="H55" s="51" t="s">
        <v>153</v>
      </c>
      <c r="I55" s="99" t="s">
        <v>81</v>
      </c>
      <c r="J55" s="53">
        <v>1200.0</v>
      </c>
      <c r="K55" s="95">
        <v>819.99</v>
      </c>
      <c r="L55" s="100">
        <f t="shared" si="4"/>
        <v>0.316675</v>
      </c>
      <c r="M55" s="101"/>
    </row>
    <row r="56" ht="21.75" customHeight="1">
      <c r="A56" s="93" t="s">
        <v>221</v>
      </c>
      <c r="B56" s="74" t="s">
        <v>202</v>
      </c>
      <c r="C56" s="57" t="s">
        <v>151</v>
      </c>
      <c r="D56" s="57" t="s">
        <v>195</v>
      </c>
      <c r="E56" s="57"/>
      <c r="F56" s="57"/>
      <c r="G56" s="57" t="s">
        <v>75</v>
      </c>
      <c r="H56" s="57" t="s">
        <v>153</v>
      </c>
      <c r="I56" s="99" t="s">
        <v>81</v>
      </c>
      <c r="J56" s="59">
        <v>1200.0</v>
      </c>
      <c r="K56" s="95">
        <v>819.99</v>
      </c>
      <c r="L56" s="96">
        <f t="shared" si="4"/>
        <v>0.316675</v>
      </c>
      <c r="M56" s="97"/>
    </row>
    <row r="57" ht="21.75" customHeight="1">
      <c r="A57" s="98" t="s">
        <v>222</v>
      </c>
      <c r="B57" s="78" t="s">
        <v>202</v>
      </c>
      <c r="C57" s="51" t="s">
        <v>151</v>
      </c>
      <c r="D57" s="51" t="s">
        <v>195</v>
      </c>
      <c r="E57" s="51"/>
      <c r="F57" s="51"/>
      <c r="G57" s="51" t="s">
        <v>75</v>
      </c>
      <c r="H57" s="51" t="s">
        <v>153</v>
      </c>
      <c r="I57" s="99" t="s">
        <v>81</v>
      </c>
      <c r="J57" s="53">
        <v>1200.0</v>
      </c>
      <c r="K57" s="95">
        <v>819.99</v>
      </c>
      <c r="L57" s="100">
        <f t="shared" si="4"/>
        <v>0.316675</v>
      </c>
      <c r="M57" s="101"/>
    </row>
    <row r="58" ht="21.75" customHeight="1">
      <c r="A58" s="93" t="s">
        <v>223</v>
      </c>
      <c r="B58" s="74" t="s">
        <v>202</v>
      </c>
      <c r="C58" s="57" t="s">
        <v>151</v>
      </c>
      <c r="D58" s="57" t="s">
        <v>195</v>
      </c>
      <c r="E58" s="57"/>
      <c r="F58" s="57"/>
      <c r="G58" s="57" t="s">
        <v>75</v>
      </c>
      <c r="H58" s="57" t="s">
        <v>153</v>
      </c>
      <c r="I58" s="99" t="s">
        <v>81</v>
      </c>
      <c r="J58" s="59">
        <v>1200.0</v>
      </c>
      <c r="K58" s="95">
        <v>819.99</v>
      </c>
      <c r="L58" s="96">
        <f t="shared" si="4"/>
        <v>0.316675</v>
      </c>
      <c r="M58" s="97"/>
    </row>
    <row r="59" ht="21.75" customHeight="1">
      <c r="A59" s="98" t="s">
        <v>224</v>
      </c>
      <c r="B59" s="78" t="s">
        <v>202</v>
      </c>
      <c r="C59" s="51" t="s">
        <v>151</v>
      </c>
      <c r="D59" s="51" t="s">
        <v>195</v>
      </c>
      <c r="E59" s="51"/>
      <c r="F59" s="51"/>
      <c r="G59" s="51" t="s">
        <v>75</v>
      </c>
      <c r="H59" s="51" t="s">
        <v>153</v>
      </c>
      <c r="I59" s="99" t="s">
        <v>81</v>
      </c>
      <c r="J59" s="53">
        <v>1200.0</v>
      </c>
      <c r="K59" s="95">
        <v>819.99</v>
      </c>
      <c r="L59" s="100">
        <f t="shared" si="4"/>
        <v>0.316675</v>
      </c>
      <c r="M59" s="101"/>
    </row>
    <row r="60" ht="21.75" customHeight="1">
      <c r="A60" s="93" t="s">
        <v>225</v>
      </c>
      <c r="B60" s="74" t="s">
        <v>202</v>
      </c>
      <c r="C60" s="57" t="s">
        <v>151</v>
      </c>
      <c r="D60" s="57" t="s">
        <v>195</v>
      </c>
      <c r="E60" s="57"/>
      <c r="F60" s="57"/>
      <c r="G60" s="57" t="s">
        <v>75</v>
      </c>
      <c r="H60" s="57" t="s">
        <v>153</v>
      </c>
      <c r="I60" s="99" t="s">
        <v>81</v>
      </c>
      <c r="J60" s="59">
        <v>1200.0</v>
      </c>
      <c r="K60" s="95">
        <v>819.99</v>
      </c>
      <c r="L60" s="96">
        <f t="shared" si="4"/>
        <v>0.316675</v>
      </c>
      <c r="M60" s="97"/>
    </row>
    <row r="61" ht="21.75" customHeight="1">
      <c r="A61" s="98" t="s">
        <v>226</v>
      </c>
      <c r="B61" s="78" t="s">
        <v>227</v>
      </c>
      <c r="C61" s="51" t="s">
        <v>228</v>
      </c>
      <c r="D61" s="51" t="s">
        <v>195</v>
      </c>
      <c r="E61" s="51"/>
      <c r="F61" s="51"/>
      <c r="G61" s="51" t="s">
        <v>75</v>
      </c>
      <c r="H61" s="51" t="s">
        <v>153</v>
      </c>
      <c r="I61" s="99" t="s">
        <v>81</v>
      </c>
      <c r="J61" s="53">
        <v>830.0</v>
      </c>
      <c r="K61" s="95">
        <v>830.0</v>
      </c>
      <c r="L61" s="100">
        <f t="shared" si="4"/>
        <v>0</v>
      </c>
      <c r="M61" s="101"/>
    </row>
    <row r="62" ht="21.75" customHeight="1">
      <c r="A62" s="93" t="s">
        <v>229</v>
      </c>
      <c r="B62" s="74" t="s">
        <v>230</v>
      </c>
      <c r="C62" s="57" t="s">
        <v>228</v>
      </c>
      <c r="D62" s="57" t="s">
        <v>195</v>
      </c>
      <c r="E62" s="57"/>
      <c r="F62" s="57"/>
      <c r="G62" s="57" t="s">
        <v>75</v>
      </c>
      <c r="H62" s="57" t="s">
        <v>153</v>
      </c>
      <c r="I62" s="99" t="s">
        <v>81</v>
      </c>
      <c r="J62" s="59">
        <v>830.0</v>
      </c>
      <c r="K62" s="95">
        <v>197.88</v>
      </c>
      <c r="L62" s="96">
        <f t="shared" si="4"/>
        <v>0.7615903614</v>
      </c>
      <c r="M62" s="97"/>
    </row>
    <row r="63" ht="21.75" customHeight="1">
      <c r="A63" s="98" t="s">
        <v>231</v>
      </c>
      <c r="B63" s="78" t="s">
        <v>230</v>
      </c>
      <c r="C63" s="51" t="s">
        <v>228</v>
      </c>
      <c r="D63" s="51" t="s">
        <v>195</v>
      </c>
      <c r="E63" s="51"/>
      <c r="F63" s="51"/>
      <c r="G63" s="51" t="s">
        <v>75</v>
      </c>
      <c r="H63" s="51" t="s">
        <v>153</v>
      </c>
      <c r="I63" s="99" t="s">
        <v>81</v>
      </c>
      <c r="J63" s="53">
        <v>830.0</v>
      </c>
      <c r="K63" s="95">
        <v>197.88</v>
      </c>
      <c r="L63" s="100">
        <f t="shared" si="4"/>
        <v>0.7615903614</v>
      </c>
      <c r="M63" s="101"/>
    </row>
    <row r="64" ht="21.75" customHeight="1">
      <c r="A64" s="93" t="s">
        <v>232</v>
      </c>
      <c r="B64" s="74" t="s">
        <v>233</v>
      </c>
      <c r="C64" s="57"/>
      <c r="D64" s="57" t="s">
        <v>195</v>
      </c>
      <c r="E64" s="57"/>
      <c r="F64" s="57"/>
      <c r="G64" s="57" t="s">
        <v>75</v>
      </c>
      <c r="H64" s="57" t="s">
        <v>153</v>
      </c>
      <c r="I64" s="99" t="s">
        <v>81</v>
      </c>
      <c r="J64" s="59">
        <v>1015.0</v>
      </c>
      <c r="K64" s="95">
        <v>508.94</v>
      </c>
      <c r="L64" s="96">
        <f t="shared" si="4"/>
        <v>0.4985812808</v>
      </c>
      <c r="M64" s="97"/>
    </row>
    <row r="65" ht="21.75" customHeight="1">
      <c r="A65" s="98" t="s">
        <v>234</v>
      </c>
      <c r="B65" s="78" t="s">
        <v>233</v>
      </c>
      <c r="C65" s="51"/>
      <c r="D65" s="51" t="s">
        <v>195</v>
      </c>
      <c r="E65" s="51"/>
      <c r="F65" s="51"/>
      <c r="G65" s="51" t="s">
        <v>75</v>
      </c>
      <c r="H65" s="51" t="s">
        <v>153</v>
      </c>
      <c r="I65" s="99" t="s">
        <v>81</v>
      </c>
      <c r="J65" s="53">
        <v>1015.0</v>
      </c>
      <c r="K65" s="95">
        <v>508.94</v>
      </c>
      <c r="L65" s="100">
        <f t="shared" si="4"/>
        <v>0.4985812808</v>
      </c>
      <c r="M65" s="101"/>
    </row>
    <row r="66" ht="21.75" customHeight="1">
      <c r="A66" s="93" t="s">
        <v>235</v>
      </c>
      <c r="B66" s="74" t="s">
        <v>233</v>
      </c>
      <c r="C66" s="57"/>
      <c r="D66" s="57" t="s">
        <v>195</v>
      </c>
      <c r="E66" s="57"/>
      <c r="F66" s="57"/>
      <c r="G66" s="57" t="s">
        <v>75</v>
      </c>
      <c r="H66" s="57" t="s">
        <v>153</v>
      </c>
      <c r="I66" s="99" t="s">
        <v>81</v>
      </c>
      <c r="J66" s="59">
        <v>1015.0</v>
      </c>
      <c r="K66" s="95">
        <v>508.94</v>
      </c>
      <c r="L66" s="96">
        <f t="shared" si="4"/>
        <v>0.4985812808</v>
      </c>
      <c r="M66" s="97"/>
    </row>
    <row r="67" ht="21.75" customHeight="1">
      <c r="A67" s="98" t="s">
        <v>236</v>
      </c>
      <c r="B67" s="78" t="s">
        <v>227</v>
      </c>
      <c r="C67" s="51" t="s">
        <v>228</v>
      </c>
      <c r="D67" s="51" t="s">
        <v>195</v>
      </c>
      <c r="E67" s="51"/>
      <c r="F67" s="51"/>
      <c r="G67" s="51" t="s">
        <v>75</v>
      </c>
      <c r="H67" s="51" t="s">
        <v>153</v>
      </c>
      <c r="I67" s="99" t="s">
        <v>81</v>
      </c>
      <c r="J67" s="53">
        <v>830.0</v>
      </c>
      <c r="K67" s="95">
        <v>830.0</v>
      </c>
      <c r="L67" s="100">
        <f t="shared" si="4"/>
        <v>0</v>
      </c>
      <c r="M67" s="101"/>
    </row>
    <row r="68" ht="21.75" customHeight="1">
      <c r="A68" s="93" t="s">
        <v>237</v>
      </c>
      <c r="B68" s="74" t="s">
        <v>227</v>
      </c>
      <c r="C68" s="57" t="s">
        <v>228</v>
      </c>
      <c r="D68" s="57" t="s">
        <v>195</v>
      </c>
      <c r="E68" s="57"/>
      <c r="F68" s="57"/>
      <c r="G68" s="57" t="s">
        <v>75</v>
      </c>
      <c r="H68" s="57" t="s">
        <v>153</v>
      </c>
      <c r="I68" s="99" t="s">
        <v>81</v>
      </c>
      <c r="J68" s="59">
        <v>830.0</v>
      </c>
      <c r="K68" s="95">
        <v>830.0</v>
      </c>
      <c r="L68" s="96">
        <f t="shared" si="4"/>
        <v>0</v>
      </c>
      <c r="M68" s="97"/>
    </row>
    <row r="69" ht="21.75" customHeight="1">
      <c r="A69" s="98" t="s">
        <v>238</v>
      </c>
      <c r="B69" s="78" t="s">
        <v>230</v>
      </c>
      <c r="C69" s="51" t="s">
        <v>228</v>
      </c>
      <c r="D69" s="51" t="s">
        <v>195</v>
      </c>
      <c r="E69" s="51"/>
      <c r="F69" s="51"/>
      <c r="G69" s="51" t="s">
        <v>75</v>
      </c>
      <c r="H69" s="51" t="s">
        <v>153</v>
      </c>
      <c r="I69" s="99" t="s">
        <v>81</v>
      </c>
      <c r="J69" s="53">
        <v>830.0</v>
      </c>
      <c r="K69" s="95">
        <v>197.88</v>
      </c>
      <c r="L69" s="100">
        <f t="shared" si="4"/>
        <v>0.7615903614</v>
      </c>
      <c r="M69" s="101"/>
    </row>
    <row r="70" ht="24.0" customHeight="1">
      <c r="A70" s="92" t="s">
        <v>239</v>
      </c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5"/>
    </row>
    <row r="71" ht="21.75" customHeight="1">
      <c r="A71" s="93" t="s">
        <v>240</v>
      </c>
      <c r="B71" s="74" t="s">
        <v>241</v>
      </c>
      <c r="C71" s="57" t="s">
        <v>242</v>
      </c>
      <c r="D71" s="57" t="s">
        <v>243</v>
      </c>
      <c r="E71" s="57"/>
      <c r="F71" s="57"/>
      <c r="G71" s="57" t="s">
        <v>75</v>
      </c>
      <c r="H71" s="57" t="s">
        <v>153</v>
      </c>
      <c r="I71" s="99" t="s">
        <v>81</v>
      </c>
      <c r="J71" s="59">
        <v>450.0</v>
      </c>
      <c r="K71" s="95">
        <v>560.0</v>
      </c>
      <c r="L71" s="96">
        <f t="shared" ref="L71:L145" si="5">IF(J71&gt;0,(J71-K71)/J71,"")</f>
        <v>-0.2444444444</v>
      </c>
      <c r="M71" s="97"/>
    </row>
    <row r="72" ht="21.75" customHeight="1">
      <c r="A72" s="98" t="s">
        <v>244</v>
      </c>
      <c r="B72" s="78" t="s">
        <v>245</v>
      </c>
      <c r="C72" s="51" t="s">
        <v>228</v>
      </c>
      <c r="D72" s="51" t="s">
        <v>243</v>
      </c>
      <c r="E72" s="51"/>
      <c r="F72" s="51"/>
      <c r="G72" s="51" t="s">
        <v>75</v>
      </c>
      <c r="H72" s="51" t="s">
        <v>153</v>
      </c>
      <c r="I72" s="99" t="s">
        <v>81</v>
      </c>
      <c r="J72" s="53">
        <v>320.0</v>
      </c>
      <c r="K72" s="95">
        <v>320.0</v>
      </c>
      <c r="L72" s="100">
        <f t="shared" si="5"/>
        <v>0</v>
      </c>
      <c r="M72" s="101"/>
    </row>
    <row r="73" ht="21.75" customHeight="1">
      <c r="A73" s="93" t="s">
        <v>246</v>
      </c>
      <c r="B73" s="74" t="s">
        <v>245</v>
      </c>
      <c r="C73" s="57" t="s">
        <v>228</v>
      </c>
      <c r="D73" s="57" t="s">
        <v>243</v>
      </c>
      <c r="E73" s="57"/>
      <c r="F73" s="57"/>
      <c r="G73" s="57" t="s">
        <v>75</v>
      </c>
      <c r="H73" s="57" t="s">
        <v>153</v>
      </c>
      <c r="I73" s="99" t="s">
        <v>81</v>
      </c>
      <c r="J73" s="59">
        <v>320.0</v>
      </c>
      <c r="K73" s="95">
        <v>320.0</v>
      </c>
      <c r="L73" s="96">
        <f t="shared" si="5"/>
        <v>0</v>
      </c>
      <c r="M73" s="97"/>
    </row>
    <row r="74" ht="21.75" customHeight="1">
      <c r="A74" s="98" t="s">
        <v>247</v>
      </c>
      <c r="B74" s="78" t="s">
        <v>248</v>
      </c>
      <c r="C74" s="51" t="s">
        <v>242</v>
      </c>
      <c r="D74" s="51" t="s">
        <v>243</v>
      </c>
      <c r="E74" s="51"/>
      <c r="F74" s="51"/>
      <c r="G74" s="51" t="s">
        <v>75</v>
      </c>
      <c r="H74" s="51" t="s">
        <v>153</v>
      </c>
      <c r="I74" s="99" t="s">
        <v>81</v>
      </c>
      <c r="J74" s="53">
        <v>450.0</v>
      </c>
      <c r="K74" s="95">
        <v>560.0</v>
      </c>
      <c r="L74" s="100">
        <f t="shared" si="5"/>
        <v>-0.2444444444</v>
      </c>
      <c r="M74" s="101"/>
    </row>
    <row r="75" ht="21.75" customHeight="1">
      <c r="A75" s="93" t="s">
        <v>249</v>
      </c>
      <c r="B75" s="74" t="s">
        <v>250</v>
      </c>
      <c r="C75" s="57" t="s">
        <v>151</v>
      </c>
      <c r="D75" s="57" t="s">
        <v>243</v>
      </c>
      <c r="E75" s="57" t="s">
        <v>251</v>
      </c>
      <c r="F75" s="57"/>
      <c r="G75" s="57" t="s">
        <v>75</v>
      </c>
      <c r="H75" s="57" t="s">
        <v>153</v>
      </c>
      <c r="I75" s="99" t="s">
        <v>81</v>
      </c>
      <c r="J75" s="59">
        <v>289.0</v>
      </c>
      <c r="K75" s="95">
        <v>289.0</v>
      </c>
      <c r="L75" s="96">
        <f t="shared" si="5"/>
        <v>0</v>
      </c>
      <c r="M75" s="97"/>
    </row>
    <row r="76" ht="21.75" customHeight="1">
      <c r="A76" s="98" t="s">
        <v>252</v>
      </c>
      <c r="B76" s="78" t="s">
        <v>253</v>
      </c>
      <c r="C76" s="51" t="s">
        <v>228</v>
      </c>
      <c r="D76" s="51" t="s">
        <v>243</v>
      </c>
      <c r="E76" s="51"/>
      <c r="F76" s="51"/>
      <c r="G76" s="51" t="s">
        <v>75</v>
      </c>
      <c r="H76" s="51" t="s">
        <v>153</v>
      </c>
      <c r="I76" s="99" t="s">
        <v>81</v>
      </c>
      <c r="J76" s="53">
        <v>660.0</v>
      </c>
      <c r="K76" s="95">
        <v>290.0</v>
      </c>
      <c r="L76" s="100">
        <f t="shared" si="5"/>
        <v>0.5606060606</v>
      </c>
      <c r="M76" s="101"/>
    </row>
    <row r="77" ht="21.75" customHeight="1">
      <c r="A77" s="93" t="s">
        <v>254</v>
      </c>
      <c r="B77" s="74" t="s">
        <v>253</v>
      </c>
      <c r="C77" s="57" t="s">
        <v>228</v>
      </c>
      <c r="D77" s="57" t="s">
        <v>243</v>
      </c>
      <c r="E77" s="57"/>
      <c r="F77" s="57"/>
      <c r="G77" s="57" t="s">
        <v>75</v>
      </c>
      <c r="H77" s="57" t="s">
        <v>153</v>
      </c>
      <c r="I77" s="99" t="s">
        <v>81</v>
      </c>
      <c r="J77" s="59">
        <v>660.0</v>
      </c>
      <c r="K77" s="95">
        <v>290.0</v>
      </c>
      <c r="L77" s="96">
        <f t="shared" si="5"/>
        <v>0.5606060606</v>
      </c>
      <c r="M77" s="97"/>
    </row>
    <row r="78" ht="21.75" customHeight="1">
      <c r="A78" s="98" t="s">
        <v>255</v>
      </c>
      <c r="B78" s="78" t="s">
        <v>253</v>
      </c>
      <c r="C78" s="51" t="s">
        <v>228</v>
      </c>
      <c r="D78" s="51" t="s">
        <v>243</v>
      </c>
      <c r="E78" s="51"/>
      <c r="F78" s="51"/>
      <c r="G78" s="51" t="s">
        <v>75</v>
      </c>
      <c r="H78" s="51" t="s">
        <v>153</v>
      </c>
      <c r="I78" s="99" t="s">
        <v>81</v>
      </c>
      <c r="J78" s="53">
        <v>660.0</v>
      </c>
      <c r="K78" s="95">
        <v>290.0</v>
      </c>
      <c r="L78" s="100">
        <f t="shared" si="5"/>
        <v>0.5606060606</v>
      </c>
      <c r="M78" s="101"/>
    </row>
    <row r="79" ht="21.75" customHeight="1">
      <c r="A79" s="93" t="s">
        <v>256</v>
      </c>
      <c r="B79" s="74" t="s">
        <v>257</v>
      </c>
      <c r="C79" s="57" t="s">
        <v>228</v>
      </c>
      <c r="D79" s="57" t="s">
        <v>243</v>
      </c>
      <c r="E79" s="57"/>
      <c r="F79" s="57"/>
      <c r="G79" s="57" t="s">
        <v>75</v>
      </c>
      <c r="H79" s="57" t="s">
        <v>153</v>
      </c>
      <c r="I79" s="99" t="s">
        <v>81</v>
      </c>
      <c r="J79" s="59">
        <v>450.0</v>
      </c>
      <c r="K79" s="95">
        <v>320.0</v>
      </c>
      <c r="L79" s="96">
        <f t="shared" si="5"/>
        <v>0.2888888889</v>
      </c>
      <c r="M79" s="97"/>
    </row>
    <row r="80" ht="21.75" customHeight="1">
      <c r="A80" s="98" t="s">
        <v>258</v>
      </c>
      <c r="B80" s="78" t="s">
        <v>257</v>
      </c>
      <c r="C80" s="51" t="s">
        <v>228</v>
      </c>
      <c r="D80" s="51" t="s">
        <v>243</v>
      </c>
      <c r="E80" s="51"/>
      <c r="F80" s="51"/>
      <c r="G80" s="51" t="s">
        <v>75</v>
      </c>
      <c r="H80" s="51" t="s">
        <v>153</v>
      </c>
      <c r="I80" s="99" t="s">
        <v>81</v>
      </c>
      <c r="J80" s="53">
        <v>450.0</v>
      </c>
      <c r="K80" s="95">
        <v>320.0</v>
      </c>
      <c r="L80" s="100">
        <f t="shared" si="5"/>
        <v>0.2888888889</v>
      </c>
      <c r="M80" s="101"/>
    </row>
    <row r="81" ht="21.75" customHeight="1">
      <c r="A81" s="93" t="s">
        <v>259</v>
      </c>
      <c r="B81" s="74" t="s">
        <v>257</v>
      </c>
      <c r="C81" s="57" t="s">
        <v>228</v>
      </c>
      <c r="D81" s="57" t="s">
        <v>243</v>
      </c>
      <c r="E81" s="57"/>
      <c r="F81" s="57"/>
      <c r="G81" s="57" t="s">
        <v>75</v>
      </c>
      <c r="H81" s="57" t="s">
        <v>153</v>
      </c>
      <c r="I81" s="99" t="s">
        <v>81</v>
      </c>
      <c r="J81" s="59">
        <v>450.0</v>
      </c>
      <c r="K81" s="95">
        <v>320.0</v>
      </c>
      <c r="L81" s="96">
        <f t="shared" si="5"/>
        <v>0.2888888889</v>
      </c>
      <c r="M81" s="97"/>
    </row>
    <row r="82" ht="21.75" customHeight="1">
      <c r="A82" s="98" t="s">
        <v>260</v>
      </c>
      <c r="B82" s="78" t="s">
        <v>261</v>
      </c>
      <c r="C82" s="51" t="s">
        <v>228</v>
      </c>
      <c r="D82" s="51" t="s">
        <v>243</v>
      </c>
      <c r="E82" s="51"/>
      <c r="F82" s="51"/>
      <c r="G82" s="51" t="s">
        <v>75</v>
      </c>
      <c r="H82" s="51" t="s">
        <v>153</v>
      </c>
      <c r="I82" s="99" t="s">
        <v>81</v>
      </c>
      <c r="J82" s="53">
        <v>450.0</v>
      </c>
      <c r="K82" s="95">
        <v>320.0</v>
      </c>
      <c r="L82" s="100">
        <f t="shared" si="5"/>
        <v>0.2888888889</v>
      </c>
      <c r="M82" s="101"/>
    </row>
    <row r="83" ht="21.75" customHeight="1">
      <c r="A83" s="93" t="s">
        <v>262</v>
      </c>
      <c r="B83" s="74" t="s">
        <v>263</v>
      </c>
      <c r="C83" s="57" t="s">
        <v>228</v>
      </c>
      <c r="D83" s="57" t="s">
        <v>243</v>
      </c>
      <c r="E83" s="57"/>
      <c r="F83" s="57"/>
      <c r="G83" s="57" t="s">
        <v>75</v>
      </c>
      <c r="H83" s="57" t="s">
        <v>153</v>
      </c>
      <c r="I83" s="99" t="s">
        <v>81</v>
      </c>
      <c r="J83" s="59">
        <v>450.0</v>
      </c>
      <c r="K83" s="95">
        <v>320.0</v>
      </c>
      <c r="L83" s="96">
        <f t="shared" si="5"/>
        <v>0.2888888889</v>
      </c>
      <c r="M83" s="97"/>
    </row>
    <row r="84" ht="21.75" customHeight="1">
      <c r="A84" s="98" t="s">
        <v>264</v>
      </c>
      <c r="B84" s="78" t="s">
        <v>265</v>
      </c>
      <c r="C84" s="51" t="s">
        <v>242</v>
      </c>
      <c r="D84" s="51" t="s">
        <v>243</v>
      </c>
      <c r="E84" s="51"/>
      <c r="F84" s="51"/>
      <c r="G84" s="51" t="s">
        <v>75</v>
      </c>
      <c r="H84" s="51" t="s">
        <v>153</v>
      </c>
      <c r="I84" s="99" t="s">
        <v>81</v>
      </c>
      <c r="J84" s="53">
        <v>450.0</v>
      </c>
      <c r="K84" s="95">
        <v>560.0</v>
      </c>
      <c r="L84" s="100">
        <f t="shared" si="5"/>
        <v>-0.2444444444</v>
      </c>
      <c r="M84" s="101"/>
    </row>
    <row r="85" ht="21.75" customHeight="1">
      <c r="A85" s="93" t="s">
        <v>266</v>
      </c>
      <c r="B85" s="74" t="s">
        <v>245</v>
      </c>
      <c r="C85" s="57" t="s">
        <v>228</v>
      </c>
      <c r="D85" s="57" t="s">
        <v>243</v>
      </c>
      <c r="E85" s="57"/>
      <c r="F85" s="57"/>
      <c r="G85" s="57" t="s">
        <v>75</v>
      </c>
      <c r="H85" s="57" t="s">
        <v>153</v>
      </c>
      <c r="I85" s="99" t="s">
        <v>81</v>
      </c>
      <c r="J85" s="59">
        <v>320.0</v>
      </c>
      <c r="K85" s="95">
        <v>320.0</v>
      </c>
      <c r="L85" s="96">
        <f t="shared" si="5"/>
        <v>0</v>
      </c>
      <c r="M85" s="97"/>
    </row>
    <row r="86" ht="21.75" customHeight="1">
      <c r="A86" s="98" t="s">
        <v>267</v>
      </c>
      <c r="B86" s="78" t="s">
        <v>268</v>
      </c>
      <c r="C86" s="51" t="s">
        <v>228</v>
      </c>
      <c r="D86" s="51" t="s">
        <v>243</v>
      </c>
      <c r="E86" s="51"/>
      <c r="F86" s="51"/>
      <c r="G86" s="51" t="s">
        <v>75</v>
      </c>
      <c r="H86" s="51" t="s">
        <v>153</v>
      </c>
      <c r="I86" s="99" t="s">
        <v>81</v>
      </c>
      <c r="J86" s="53">
        <v>450.0</v>
      </c>
      <c r="K86" s="95">
        <v>320.0</v>
      </c>
      <c r="L86" s="100">
        <f t="shared" si="5"/>
        <v>0.2888888889</v>
      </c>
      <c r="M86" s="101"/>
    </row>
    <row r="87" ht="21.75" customHeight="1">
      <c r="A87" s="93" t="s">
        <v>269</v>
      </c>
      <c r="B87" s="74" t="s">
        <v>270</v>
      </c>
      <c r="C87" s="57" t="s">
        <v>242</v>
      </c>
      <c r="D87" s="57" t="s">
        <v>243</v>
      </c>
      <c r="E87" s="57"/>
      <c r="F87" s="57"/>
      <c r="G87" s="57" t="s">
        <v>75</v>
      </c>
      <c r="H87" s="57" t="s">
        <v>153</v>
      </c>
      <c r="I87" s="99" t="s">
        <v>81</v>
      </c>
      <c r="J87" s="59">
        <v>450.0</v>
      </c>
      <c r="K87" s="95">
        <v>560.0</v>
      </c>
      <c r="L87" s="96">
        <f t="shared" si="5"/>
        <v>-0.2444444444</v>
      </c>
      <c r="M87" s="97"/>
    </row>
    <row r="88" ht="21.75" customHeight="1">
      <c r="A88" s="98" t="s">
        <v>271</v>
      </c>
      <c r="B88" s="78" t="s">
        <v>272</v>
      </c>
      <c r="C88" s="51" t="s">
        <v>273</v>
      </c>
      <c r="D88" s="51" t="s">
        <v>243</v>
      </c>
      <c r="E88" s="51" t="s">
        <v>274</v>
      </c>
      <c r="F88" s="51"/>
      <c r="G88" s="51" t="s">
        <v>75</v>
      </c>
      <c r="H88" s="51" t="s">
        <v>153</v>
      </c>
      <c r="I88" s="99" t="s">
        <v>81</v>
      </c>
      <c r="J88" s="53">
        <v>450.0</v>
      </c>
      <c r="K88" s="95">
        <v>450.0</v>
      </c>
      <c r="L88" s="100">
        <f t="shared" si="5"/>
        <v>0</v>
      </c>
      <c r="M88" s="101"/>
    </row>
    <row r="89" ht="21.75" customHeight="1">
      <c r="A89" s="93" t="s">
        <v>275</v>
      </c>
      <c r="B89" s="74" t="s">
        <v>272</v>
      </c>
      <c r="C89" s="57" t="s">
        <v>273</v>
      </c>
      <c r="D89" s="57" t="s">
        <v>243</v>
      </c>
      <c r="E89" s="57" t="s">
        <v>276</v>
      </c>
      <c r="F89" s="57"/>
      <c r="G89" s="57" t="s">
        <v>75</v>
      </c>
      <c r="H89" s="57" t="s">
        <v>153</v>
      </c>
      <c r="I89" s="99" t="s">
        <v>81</v>
      </c>
      <c r="J89" s="59">
        <v>450.0</v>
      </c>
      <c r="K89" s="95">
        <v>450.0</v>
      </c>
      <c r="L89" s="96">
        <f t="shared" si="5"/>
        <v>0</v>
      </c>
      <c r="M89" s="97"/>
    </row>
    <row r="90" ht="21.75" customHeight="1">
      <c r="A90" s="98" t="s">
        <v>277</v>
      </c>
      <c r="B90" s="78" t="s">
        <v>278</v>
      </c>
      <c r="C90" s="51"/>
      <c r="D90" s="51" t="s">
        <v>243</v>
      </c>
      <c r="E90" s="51"/>
      <c r="F90" s="51"/>
      <c r="G90" s="51" t="s">
        <v>75</v>
      </c>
      <c r="H90" s="51" t="s">
        <v>153</v>
      </c>
      <c r="I90" s="99" t="s">
        <v>81</v>
      </c>
      <c r="J90" s="53">
        <v>171.0</v>
      </c>
      <c r="K90" s="95">
        <v>171.0</v>
      </c>
      <c r="L90" s="100">
        <f t="shared" si="5"/>
        <v>0</v>
      </c>
      <c r="M90" s="101"/>
    </row>
    <row r="91" ht="21.75" customHeight="1">
      <c r="A91" s="93" t="s">
        <v>279</v>
      </c>
      <c r="B91" s="74" t="s">
        <v>280</v>
      </c>
      <c r="C91" s="57" t="s">
        <v>281</v>
      </c>
      <c r="D91" s="57" t="s">
        <v>243</v>
      </c>
      <c r="E91" s="57"/>
      <c r="F91" s="57"/>
      <c r="G91" s="57" t="s">
        <v>75</v>
      </c>
      <c r="H91" s="57" t="s">
        <v>153</v>
      </c>
      <c r="I91" s="99" t="s">
        <v>81</v>
      </c>
      <c r="J91" s="59">
        <v>450.0</v>
      </c>
      <c r="K91" s="95">
        <v>450.0</v>
      </c>
      <c r="L91" s="96">
        <f t="shared" si="5"/>
        <v>0</v>
      </c>
      <c r="M91" s="97"/>
    </row>
    <row r="92" ht="21.75" customHeight="1">
      <c r="A92" s="98" t="s">
        <v>282</v>
      </c>
      <c r="B92" s="78" t="s">
        <v>283</v>
      </c>
      <c r="C92" s="51" t="s">
        <v>283</v>
      </c>
      <c r="D92" s="51" t="s">
        <v>243</v>
      </c>
      <c r="E92" s="51"/>
      <c r="F92" s="51"/>
      <c r="G92" s="51" t="s">
        <v>75</v>
      </c>
      <c r="H92" s="51" t="s">
        <v>153</v>
      </c>
      <c r="I92" s="99" t="s">
        <v>81</v>
      </c>
      <c r="J92" s="53">
        <v>450.0</v>
      </c>
      <c r="K92" s="95">
        <v>450.0</v>
      </c>
      <c r="L92" s="100">
        <f t="shared" si="5"/>
        <v>0</v>
      </c>
      <c r="M92" s="101"/>
    </row>
    <row r="93" ht="21.75" customHeight="1">
      <c r="A93" s="93" t="s">
        <v>284</v>
      </c>
      <c r="B93" s="74" t="s">
        <v>285</v>
      </c>
      <c r="C93" s="57" t="s">
        <v>286</v>
      </c>
      <c r="D93" s="57" t="s">
        <v>243</v>
      </c>
      <c r="E93" s="57"/>
      <c r="F93" s="57"/>
      <c r="G93" s="57" t="s">
        <v>75</v>
      </c>
      <c r="H93" s="57" t="s">
        <v>153</v>
      </c>
      <c r="I93" s="99" t="s">
        <v>81</v>
      </c>
      <c r="J93" s="59">
        <v>171.0</v>
      </c>
      <c r="K93" s="95">
        <v>171.0</v>
      </c>
      <c r="L93" s="96">
        <f t="shared" si="5"/>
        <v>0</v>
      </c>
      <c r="M93" s="97"/>
    </row>
    <row r="94" ht="21.75" customHeight="1">
      <c r="A94" s="98" t="s">
        <v>287</v>
      </c>
      <c r="B94" s="78" t="s">
        <v>283</v>
      </c>
      <c r="C94" s="51" t="s">
        <v>283</v>
      </c>
      <c r="D94" s="51" t="s">
        <v>243</v>
      </c>
      <c r="E94" s="51"/>
      <c r="F94" s="51"/>
      <c r="G94" s="51" t="s">
        <v>75</v>
      </c>
      <c r="H94" s="51" t="s">
        <v>153</v>
      </c>
      <c r="I94" s="99" t="s">
        <v>81</v>
      </c>
      <c r="J94" s="53">
        <v>450.0</v>
      </c>
      <c r="K94" s="95">
        <v>450.0</v>
      </c>
      <c r="L94" s="100">
        <f t="shared" si="5"/>
        <v>0</v>
      </c>
      <c r="M94" s="101"/>
    </row>
    <row r="95" ht="21.75" customHeight="1">
      <c r="A95" s="93" t="s">
        <v>288</v>
      </c>
      <c r="B95" s="74" t="s">
        <v>289</v>
      </c>
      <c r="C95" s="57" t="s">
        <v>289</v>
      </c>
      <c r="D95" s="57" t="s">
        <v>243</v>
      </c>
      <c r="E95" s="57"/>
      <c r="F95" s="57"/>
      <c r="G95" s="57" t="s">
        <v>75</v>
      </c>
      <c r="H95" s="57" t="s">
        <v>153</v>
      </c>
      <c r="I95" s="99" t="s">
        <v>81</v>
      </c>
      <c r="J95" s="59">
        <v>450.0</v>
      </c>
      <c r="K95" s="95">
        <v>450.0</v>
      </c>
      <c r="L95" s="96">
        <f t="shared" si="5"/>
        <v>0</v>
      </c>
      <c r="M95" s="97"/>
    </row>
    <row r="96" ht="21.75" customHeight="1">
      <c r="A96" s="98" t="s">
        <v>290</v>
      </c>
      <c r="B96" s="78" t="s">
        <v>283</v>
      </c>
      <c r="C96" s="51" t="s">
        <v>283</v>
      </c>
      <c r="D96" s="51" t="s">
        <v>243</v>
      </c>
      <c r="E96" s="51"/>
      <c r="F96" s="51"/>
      <c r="G96" s="51" t="s">
        <v>75</v>
      </c>
      <c r="H96" s="51" t="s">
        <v>153</v>
      </c>
      <c r="I96" s="99" t="s">
        <v>81</v>
      </c>
      <c r="J96" s="53">
        <v>450.0</v>
      </c>
      <c r="K96" s="95">
        <v>450.0</v>
      </c>
      <c r="L96" s="100">
        <f t="shared" si="5"/>
        <v>0</v>
      </c>
      <c r="M96" s="101"/>
    </row>
    <row r="97" ht="21.75" customHeight="1">
      <c r="A97" s="93" t="s">
        <v>291</v>
      </c>
      <c r="B97" s="74" t="s">
        <v>283</v>
      </c>
      <c r="C97" s="57" t="s">
        <v>283</v>
      </c>
      <c r="D97" s="57" t="s">
        <v>243</v>
      </c>
      <c r="E97" s="57"/>
      <c r="F97" s="57"/>
      <c r="G97" s="57" t="s">
        <v>75</v>
      </c>
      <c r="H97" s="57" t="s">
        <v>153</v>
      </c>
      <c r="I97" s="99" t="s">
        <v>81</v>
      </c>
      <c r="J97" s="59">
        <v>450.0</v>
      </c>
      <c r="K97" s="95">
        <v>450.0</v>
      </c>
      <c r="L97" s="96">
        <f t="shared" si="5"/>
        <v>0</v>
      </c>
      <c r="M97" s="97"/>
    </row>
    <row r="98" ht="21.75" customHeight="1">
      <c r="A98" s="98" t="s">
        <v>292</v>
      </c>
      <c r="B98" s="78" t="s">
        <v>283</v>
      </c>
      <c r="C98" s="51" t="s">
        <v>283</v>
      </c>
      <c r="D98" s="51" t="s">
        <v>243</v>
      </c>
      <c r="E98" s="51"/>
      <c r="F98" s="51"/>
      <c r="G98" s="51" t="s">
        <v>75</v>
      </c>
      <c r="H98" s="51" t="s">
        <v>153</v>
      </c>
      <c r="I98" s="99" t="s">
        <v>81</v>
      </c>
      <c r="J98" s="53">
        <v>450.0</v>
      </c>
      <c r="K98" s="95">
        <v>450.0</v>
      </c>
      <c r="L98" s="100">
        <f t="shared" si="5"/>
        <v>0</v>
      </c>
      <c r="M98" s="101"/>
    </row>
    <row r="99" ht="21.75" customHeight="1">
      <c r="A99" s="93" t="s">
        <v>293</v>
      </c>
      <c r="B99" s="74" t="s">
        <v>294</v>
      </c>
      <c r="C99" s="57" t="s">
        <v>295</v>
      </c>
      <c r="D99" s="57" t="s">
        <v>243</v>
      </c>
      <c r="E99" s="57"/>
      <c r="F99" s="57"/>
      <c r="G99" s="57" t="s">
        <v>75</v>
      </c>
      <c r="H99" s="57" t="s">
        <v>153</v>
      </c>
      <c r="I99" s="99" t="s">
        <v>81</v>
      </c>
      <c r="J99" s="59">
        <v>450.0</v>
      </c>
      <c r="K99" s="95">
        <v>450.0</v>
      </c>
      <c r="L99" s="96">
        <f t="shared" si="5"/>
        <v>0</v>
      </c>
      <c r="M99" s="97"/>
    </row>
    <row r="100" ht="21.75" customHeight="1">
      <c r="A100" s="98" t="s">
        <v>296</v>
      </c>
      <c r="B100" s="78" t="s">
        <v>297</v>
      </c>
      <c r="C100" s="51" t="s">
        <v>297</v>
      </c>
      <c r="D100" s="51" t="s">
        <v>243</v>
      </c>
      <c r="E100" s="51"/>
      <c r="F100" s="51"/>
      <c r="G100" s="51" t="s">
        <v>75</v>
      </c>
      <c r="H100" s="51" t="s">
        <v>153</v>
      </c>
      <c r="I100" s="99" t="s">
        <v>81</v>
      </c>
      <c r="J100" s="53">
        <v>799.0</v>
      </c>
      <c r="K100" s="95">
        <v>637.18</v>
      </c>
      <c r="L100" s="100">
        <f t="shared" si="5"/>
        <v>0.2025281602</v>
      </c>
      <c r="M100" s="101"/>
    </row>
    <row r="101" ht="21.75" customHeight="1">
      <c r="A101" s="93" t="s">
        <v>298</v>
      </c>
      <c r="B101" s="74" t="s">
        <v>299</v>
      </c>
      <c r="C101" s="57"/>
      <c r="D101" s="57" t="s">
        <v>243</v>
      </c>
      <c r="E101" s="57" t="s">
        <v>300</v>
      </c>
      <c r="F101" s="57"/>
      <c r="G101" s="57" t="s">
        <v>75</v>
      </c>
      <c r="H101" s="57" t="s">
        <v>153</v>
      </c>
      <c r="I101" s="99" t="s">
        <v>81</v>
      </c>
      <c r="J101" s="59">
        <v>171.0</v>
      </c>
      <c r="K101" s="95">
        <v>171.0</v>
      </c>
      <c r="L101" s="96">
        <f t="shared" si="5"/>
        <v>0</v>
      </c>
      <c r="M101" s="97"/>
    </row>
    <row r="102" ht="21.75" customHeight="1">
      <c r="A102" s="98" t="s">
        <v>301</v>
      </c>
      <c r="B102" s="78" t="s">
        <v>302</v>
      </c>
      <c r="C102" s="51" t="s">
        <v>297</v>
      </c>
      <c r="D102" s="51" t="s">
        <v>243</v>
      </c>
      <c r="E102" s="51" t="s">
        <v>303</v>
      </c>
      <c r="F102" s="51"/>
      <c r="G102" s="51" t="s">
        <v>75</v>
      </c>
      <c r="H102" s="51" t="s">
        <v>153</v>
      </c>
      <c r="I102" s="99" t="s">
        <v>81</v>
      </c>
      <c r="J102" s="53">
        <v>799.0</v>
      </c>
      <c r="K102" s="95">
        <v>844.7</v>
      </c>
      <c r="L102" s="100">
        <f t="shared" si="5"/>
        <v>-0.05719649562</v>
      </c>
      <c r="M102" s="101"/>
    </row>
    <row r="103" ht="21.75" customHeight="1">
      <c r="A103" s="93" t="s">
        <v>304</v>
      </c>
      <c r="B103" s="74" t="s">
        <v>302</v>
      </c>
      <c r="C103" s="57" t="s">
        <v>297</v>
      </c>
      <c r="D103" s="57" t="s">
        <v>243</v>
      </c>
      <c r="E103" s="57" t="s">
        <v>305</v>
      </c>
      <c r="F103" s="57"/>
      <c r="G103" s="57" t="s">
        <v>75</v>
      </c>
      <c r="H103" s="57" t="s">
        <v>153</v>
      </c>
      <c r="I103" s="99" t="s">
        <v>81</v>
      </c>
      <c r="J103" s="59">
        <v>799.0</v>
      </c>
      <c r="K103" s="95">
        <v>844.7</v>
      </c>
      <c r="L103" s="96">
        <f t="shared" si="5"/>
        <v>-0.05719649562</v>
      </c>
      <c r="M103" s="97"/>
    </row>
    <row r="104" ht="21.75" customHeight="1">
      <c r="A104" s="98" t="s">
        <v>306</v>
      </c>
      <c r="B104" s="78" t="s">
        <v>307</v>
      </c>
      <c r="C104" s="51" t="s">
        <v>297</v>
      </c>
      <c r="D104" s="51" t="s">
        <v>243</v>
      </c>
      <c r="E104" s="51" t="s">
        <v>308</v>
      </c>
      <c r="F104" s="51"/>
      <c r="G104" s="51" t="s">
        <v>75</v>
      </c>
      <c r="H104" s="51" t="s">
        <v>153</v>
      </c>
      <c r="I104" s="99" t="s">
        <v>81</v>
      </c>
      <c r="J104" s="53">
        <v>799.0</v>
      </c>
      <c r="K104" s="95">
        <v>844.7</v>
      </c>
      <c r="L104" s="100">
        <f t="shared" si="5"/>
        <v>-0.05719649562</v>
      </c>
      <c r="M104" s="101"/>
    </row>
    <row r="105" ht="21.75" customHeight="1">
      <c r="A105" s="93" t="s">
        <v>309</v>
      </c>
      <c r="B105" s="74" t="s">
        <v>310</v>
      </c>
      <c r="C105" s="57" t="s">
        <v>297</v>
      </c>
      <c r="D105" s="57" t="s">
        <v>243</v>
      </c>
      <c r="E105" s="57" t="s">
        <v>311</v>
      </c>
      <c r="F105" s="57"/>
      <c r="G105" s="57" t="s">
        <v>75</v>
      </c>
      <c r="H105" s="57" t="s">
        <v>153</v>
      </c>
      <c r="I105" s="99" t="s">
        <v>81</v>
      </c>
      <c r="J105" s="59">
        <v>799.0</v>
      </c>
      <c r="K105" s="95">
        <v>844.7</v>
      </c>
      <c r="L105" s="96">
        <f t="shared" si="5"/>
        <v>-0.05719649562</v>
      </c>
      <c r="M105" s="97"/>
    </row>
    <row r="106" ht="21.75" customHeight="1">
      <c r="A106" s="98" t="s">
        <v>312</v>
      </c>
      <c r="B106" s="78" t="s">
        <v>310</v>
      </c>
      <c r="C106" s="51" t="s">
        <v>297</v>
      </c>
      <c r="D106" s="51" t="s">
        <v>243</v>
      </c>
      <c r="E106" s="51" t="s">
        <v>313</v>
      </c>
      <c r="F106" s="51"/>
      <c r="G106" s="51" t="s">
        <v>75</v>
      </c>
      <c r="H106" s="51" t="s">
        <v>153</v>
      </c>
      <c r="I106" s="99" t="s">
        <v>81</v>
      </c>
      <c r="J106" s="53">
        <v>799.0</v>
      </c>
      <c r="K106" s="95">
        <v>844.7</v>
      </c>
      <c r="L106" s="100">
        <f t="shared" si="5"/>
        <v>-0.05719649562</v>
      </c>
      <c r="M106" s="101"/>
    </row>
    <row r="107" ht="21.75" customHeight="1">
      <c r="A107" s="93" t="s">
        <v>314</v>
      </c>
      <c r="B107" s="74" t="s">
        <v>310</v>
      </c>
      <c r="C107" s="57" t="s">
        <v>297</v>
      </c>
      <c r="D107" s="57" t="s">
        <v>243</v>
      </c>
      <c r="E107" s="57" t="s">
        <v>315</v>
      </c>
      <c r="F107" s="57"/>
      <c r="G107" s="57" t="s">
        <v>75</v>
      </c>
      <c r="H107" s="57" t="s">
        <v>153</v>
      </c>
      <c r="I107" s="99" t="s">
        <v>81</v>
      </c>
      <c r="J107" s="59">
        <v>799.0</v>
      </c>
      <c r="K107" s="95">
        <v>844.7</v>
      </c>
      <c r="L107" s="96">
        <f t="shared" si="5"/>
        <v>-0.05719649562</v>
      </c>
      <c r="M107" s="97"/>
    </row>
    <row r="108" ht="21.75" customHeight="1">
      <c r="A108" s="98" t="s">
        <v>316</v>
      </c>
      <c r="B108" s="78" t="s">
        <v>310</v>
      </c>
      <c r="C108" s="51" t="s">
        <v>297</v>
      </c>
      <c r="D108" s="51" t="s">
        <v>243</v>
      </c>
      <c r="E108" s="51" t="s">
        <v>317</v>
      </c>
      <c r="F108" s="51"/>
      <c r="G108" s="51" t="s">
        <v>75</v>
      </c>
      <c r="H108" s="51" t="s">
        <v>153</v>
      </c>
      <c r="I108" s="99" t="s">
        <v>81</v>
      </c>
      <c r="J108" s="53">
        <v>799.0</v>
      </c>
      <c r="K108" s="95">
        <v>844.7</v>
      </c>
      <c r="L108" s="100">
        <f t="shared" si="5"/>
        <v>-0.05719649562</v>
      </c>
      <c r="M108" s="101"/>
    </row>
    <row r="109" ht="21.75" customHeight="1">
      <c r="A109" s="93" t="s">
        <v>318</v>
      </c>
      <c r="B109" s="74" t="s">
        <v>319</v>
      </c>
      <c r="C109" s="57" t="s">
        <v>289</v>
      </c>
      <c r="D109" s="57" t="s">
        <v>243</v>
      </c>
      <c r="E109" s="57"/>
      <c r="F109" s="57"/>
      <c r="G109" s="57" t="s">
        <v>75</v>
      </c>
      <c r="H109" s="57" t="s">
        <v>153</v>
      </c>
      <c r="I109" s="99" t="s">
        <v>81</v>
      </c>
      <c r="J109" s="59">
        <v>450.0</v>
      </c>
      <c r="K109" s="95">
        <v>450.0</v>
      </c>
      <c r="L109" s="96">
        <f t="shared" si="5"/>
        <v>0</v>
      </c>
      <c r="M109" s="97"/>
    </row>
    <row r="110" ht="21.75" customHeight="1">
      <c r="A110" s="98" t="s">
        <v>320</v>
      </c>
      <c r="B110" s="78" t="s">
        <v>319</v>
      </c>
      <c r="C110" s="51" t="s">
        <v>289</v>
      </c>
      <c r="D110" s="51" t="s">
        <v>243</v>
      </c>
      <c r="E110" s="51"/>
      <c r="F110" s="51"/>
      <c r="G110" s="51" t="s">
        <v>75</v>
      </c>
      <c r="H110" s="51" t="s">
        <v>153</v>
      </c>
      <c r="I110" s="99" t="s">
        <v>81</v>
      </c>
      <c r="J110" s="53">
        <v>450.0</v>
      </c>
      <c r="K110" s="95">
        <v>450.0</v>
      </c>
      <c r="L110" s="100">
        <f t="shared" si="5"/>
        <v>0</v>
      </c>
      <c r="M110" s="101"/>
    </row>
    <row r="111" ht="21.75" customHeight="1">
      <c r="A111" s="93" t="s">
        <v>321</v>
      </c>
      <c r="B111" s="74" t="s">
        <v>322</v>
      </c>
      <c r="C111" s="57" t="s">
        <v>228</v>
      </c>
      <c r="D111" s="57" t="s">
        <v>243</v>
      </c>
      <c r="E111" s="57"/>
      <c r="F111" s="57"/>
      <c r="G111" s="57" t="s">
        <v>75</v>
      </c>
      <c r="H111" s="57" t="s">
        <v>153</v>
      </c>
      <c r="I111" s="99" t="s">
        <v>81</v>
      </c>
      <c r="J111" s="59">
        <v>450.0</v>
      </c>
      <c r="K111" s="95">
        <v>450.0</v>
      </c>
      <c r="L111" s="96">
        <f t="shared" si="5"/>
        <v>0</v>
      </c>
      <c r="M111" s="97"/>
    </row>
    <row r="112" ht="21.75" customHeight="1">
      <c r="A112" s="98" t="s">
        <v>323</v>
      </c>
      <c r="B112" s="78" t="s">
        <v>324</v>
      </c>
      <c r="C112" s="51" t="s">
        <v>228</v>
      </c>
      <c r="D112" s="51" t="s">
        <v>243</v>
      </c>
      <c r="E112" s="51"/>
      <c r="F112" s="51"/>
      <c r="G112" s="51" t="s">
        <v>75</v>
      </c>
      <c r="H112" s="51" t="s">
        <v>153</v>
      </c>
      <c r="I112" s="99" t="s">
        <v>81</v>
      </c>
      <c r="J112" s="53">
        <v>450.0</v>
      </c>
      <c r="K112" s="95">
        <v>320.0</v>
      </c>
      <c r="L112" s="100">
        <f t="shared" si="5"/>
        <v>0.2888888889</v>
      </c>
      <c r="M112" s="101"/>
    </row>
    <row r="113" ht="21.75" customHeight="1">
      <c r="A113" s="93" t="s">
        <v>325</v>
      </c>
      <c r="B113" s="74" t="s">
        <v>326</v>
      </c>
      <c r="C113" s="57" t="s">
        <v>228</v>
      </c>
      <c r="D113" s="57" t="s">
        <v>243</v>
      </c>
      <c r="E113" s="57"/>
      <c r="F113" s="57"/>
      <c r="G113" s="57" t="s">
        <v>75</v>
      </c>
      <c r="H113" s="57" t="s">
        <v>153</v>
      </c>
      <c r="I113" s="99" t="s">
        <v>81</v>
      </c>
      <c r="J113" s="59">
        <v>450.0</v>
      </c>
      <c r="K113" s="95">
        <v>320.0</v>
      </c>
      <c r="L113" s="96">
        <f t="shared" si="5"/>
        <v>0.2888888889</v>
      </c>
      <c r="M113" s="97"/>
    </row>
    <row r="114" ht="21.75" customHeight="1">
      <c r="A114" s="98" t="s">
        <v>327</v>
      </c>
      <c r="B114" s="78" t="s">
        <v>328</v>
      </c>
      <c r="C114" s="51" t="s">
        <v>228</v>
      </c>
      <c r="D114" s="51" t="s">
        <v>243</v>
      </c>
      <c r="E114" s="51"/>
      <c r="F114" s="51"/>
      <c r="G114" s="51" t="s">
        <v>75</v>
      </c>
      <c r="H114" s="51" t="s">
        <v>153</v>
      </c>
      <c r="I114" s="99" t="s">
        <v>81</v>
      </c>
      <c r="J114" s="53">
        <v>450.0</v>
      </c>
      <c r="K114" s="95">
        <v>320.0</v>
      </c>
      <c r="L114" s="100">
        <f t="shared" si="5"/>
        <v>0.2888888889</v>
      </c>
      <c r="M114" s="101"/>
    </row>
    <row r="115" ht="21.75" customHeight="1">
      <c r="A115" s="93" t="s">
        <v>329</v>
      </c>
      <c r="B115" s="74" t="s">
        <v>330</v>
      </c>
      <c r="C115" s="57" t="s">
        <v>289</v>
      </c>
      <c r="D115" s="57" t="s">
        <v>243</v>
      </c>
      <c r="E115" s="57"/>
      <c r="F115" s="57"/>
      <c r="G115" s="57" t="s">
        <v>75</v>
      </c>
      <c r="H115" s="57" t="s">
        <v>153</v>
      </c>
      <c r="I115" s="99" t="s">
        <v>81</v>
      </c>
      <c r="J115" s="59">
        <v>450.0</v>
      </c>
      <c r="K115" s="95">
        <v>450.0</v>
      </c>
      <c r="L115" s="96">
        <f t="shared" si="5"/>
        <v>0</v>
      </c>
      <c r="M115" s="97"/>
    </row>
    <row r="116" ht="21.75" customHeight="1">
      <c r="A116" s="98" t="s">
        <v>331</v>
      </c>
      <c r="B116" s="78" t="s">
        <v>332</v>
      </c>
      <c r="C116" s="51"/>
      <c r="D116" s="51" t="s">
        <v>243</v>
      </c>
      <c r="E116" s="51"/>
      <c r="F116" s="51"/>
      <c r="G116" s="51" t="s">
        <v>75</v>
      </c>
      <c r="H116" s="51" t="s">
        <v>153</v>
      </c>
      <c r="I116" s="99" t="s">
        <v>81</v>
      </c>
      <c r="J116" s="53">
        <v>171.0</v>
      </c>
      <c r="K116" s="95">
        <v>171.0</v>
      </c>
      <c r="L116" s="100">
        <f t="shared" si="5"/>
        <v>0</v>
      </c>
      <c r="M116" s="101"/>
    </row>
    <row r="117" ht="21.75" customHeight="1">
      <c r="A117" s="93" t="s">
        <v>333</v>
      </c>
      <c r="B117" s="74" t="s">
        <v>334</v>
      </c>
      <c r="C117" s="57"/>
      <c r="D117" s="57" t="s">
        <v>243</v>
      </c>
      <c r="E117" s="57"/>
      <c r="F117" s="57"/>
      <c r="G117" s="57" t="s">
        <v>75</v>
      </c>
      <c r="H117" s="57" t="s">
        <v>153</v>
      </c>
      <c r="I117" s="99" t="s">
        <v>81</v>
      </c>
      <c r="J117" s="59">
        <v>171.0</v>
      </c>
      <c r="K117" s="95">
        <v>171.0</v>
      </c>
      <c r="L117" s="96">
        <f t="shared" si="5"/>
        <v>0</v>
      </c>
      <c r="M117" s="97"/>
    </row>
    <row r="118" ht="21.75" customHeight="1">
      <c r="A118" s="98" t="s">
        <v>335</v>
      </c>
      <c r="B118" s="78" t="s">
        <v>336</v>
      </c>
      <c r="C118" s="51" t="s">
        <v>286</v>
      </c>
      <c r="D118" s="51" t="s">
        <v>243</v>
      </c>
      <c r="E118" s="51"/>
      <c r="F118" s="51"/>
      <c r="G118" s="51" t="s">
        <v>75</v>
      </c>
      <c r="H118" s="51" t="s">
        <v>153</v>
      </c>
      <c r="I118" s="99" t="s">
        <v>81</v>
      </c>
      <c r="J118" s="53">
        <v>171.0</v>
      </c>
      <c r="K118" s="95">
        <v>171.0</v>
      </c>
      <c r="L118" s="100">
        <f t="shared" si="5"/>
        <v>0</v>
      </c>
      <c r="M118" s="101"/>
    </row>
    <row r="119" ht="21.75" customHeight="1">
      <c r="A119" s="93" t="s">
        <v>337</v>
      </c>
      <c r="B119" s="74" t="s">
        <v>338</v>
      </c>
      <c r="C119" s="57" t="s">
        <v>286</v>
      </c>
      <c r="D119" s="57" t="s">
        <v>243</v>
      </c>
      <c r="E119" s="57"/>
      <c r="F119" s="57"/>
      <c r="G119" s="57" t="s">
        <v>75</v>
      </c>
      <c r="H119" s="57" t="s">
        <v>153</v>
      </c>
      <c r="I119" s="99" t="s">
        <v>81</v>
      </c>
      <c r="J119" s="59">
        <v>171.0</v>
      </c>
      <c r="K119" s="95">
        <v>171.0</v>
      </c>
      <c r="L119" s="96">
        <f t="shared" si="5"/>
        <v>0</v>
      </c>
      <c r="M119" s="97"/>
    </row>
    <row r="120" ht="21.75" customHeight="1">
      <c r="A120" s="98" t="s">
        <v>339</v>
      </c>
      <c r="B120" s="78" t="s">
        <v>338</v>
      </c>
      <c r="C120" s="51" t="s">
        <v>286</v>
      </c>
      <c r="D120" s="51" t="s">
        <v>243</v>
      </c>
      <c r="E120" s="51"/>
      <c r="F120" s="51"/>
      <c r="G120" s="51" t="s">
        <v>75</v>
      </c>
      <c r="H120" s="51" t="s">
        <v>153</v>
      </c>
      <c r="I120" s="99" t="s">
        <v>81</v>
      </c>
      <c r="J120" s="53">
        <v>171.0</v>
      </c>
      <c r="K120" s="95">
        <v>171.0</v>
      </c>
      <c r="L120" s="100">
        <f t="shared" si="5"/>
        <v>0</v>
      </c>
      <c r="M120" s="101"/>
    </row>
    <row r="121" ht="21.75" customHeight="1">
      <c r="A121" s="93" t="s">
        <v>340</v>
      </c>
      <c r="B121" s="74" t="s">
        <v>338</v>
      </c>
      <c r="C121" s="57" t="s">
        <v>286</v>
      </c>
      <c r="D121" s="57" t="s">
        <v>243</v>
      </c>
      <c r="E121" s="57"/>
      <c r="F121" s="57"/>
      <c r="G121" s="57" t="s">
        <v>75</v>
      </c>
      <c r="H121" s="57" t="s">
        <v>153</v>
      </c>
      <c r="I121" s="99" t="s">
        <v>81</v>
      </c>
      <c r="J121" s="59">
        <v>171.0</v>
      </c>
      <c r="K121" s="95">
        <v>171.0</v>
      </c>
      <c r="L121" s="96">
        <f t="shared" si="5"/>
        <v>0</v>
      </c>
      <c r="M121" s="97"/>
    </row>
    <row r="122" ht="21.75" customHeight="1">
      <c r="A122" s="98" t="s">
        <v>341</v>
      </c>
      <c r="B122" s="78" t="s">
        <v>338</v>
      </c>
      <c r="C122" s="51" t="s">
        <v>286</v>
      </c>
      <c r="D122" s="51" t="s">
        <v>243</v>
      </c>
      <c r="E122" s="51"/>
      <c r="F122" s="51"/>
      <c r="G122" s="51" t="s">
        <v>75</v>
      </c>
      <c r="H122" s="51" t="s">
        <v>153</v>
      </c>
      <c r="I122" s="99" t="s">
        <v>81</v>
      </c>
      <c r="J122" s="53">
        <v>171.0</v>
      </c>
      <c r="K122" s="95">
        <v>171.0</v>
      </c>
      <c r="L122" s="100">
        <f t="shared" si="5"/>
        <v>0</v>
      </c>
      <c r="M122" s="101"/>
    </row>
    <row r="123" ht="21.75" customHeight="1">
      <c r="A123" s="93" t="s">
        <v>342</v>
      </c>
      <c r="B123" s="74" t="s">
        <v>338</v>
      </c>
      <c r="C123" s="57" t="s">
        <v>286</v>
      </c>
      <c r="D123" s="57" t="s">
        <v>243</v>
      </c>
      <c r="E123" s="57"/>
      <c r="F123" s="57"/>
      <c r="G123" s="57" t="s">
        <v>75</v>
      </c>
      <c r="H123" s="57" t="s">
        <v>153</v>
      </c>
      <c r="I123" s="99" t="s">
        <v>81</v>
      </c>
      <c r="J123" s="59">
        <v>171.0</v>
      </c>
      <c r="K123" s="95">
        <v>171.0</v>
      </c>
      <c r="L123" s="96">
        <f t="shared" si="5"/>
        <v>0</v>
      </c>
      <c r="M123" s="97"/>
    </row>
    <row r="124" ht="21.75" customHeight="1">
      <c r="A124" s="98" t="s">
        <v>343</v>
      </c>
      <c r="B124" s="78" t="s">
        <v>338</v>
      </c>
      <c r="C124" s="51" t="s">
        <v>286</v>
      </c>
      <c r="D124" s="51" t="s">
        <v>243</v>
      </c>
      <c r="E124" s="51"/>
      <c r="F124" s="51"/>
      <c r="G124" s="51" t="s">
        <v>75</v>
      </c>
      <c r="H124" s="51" t="s">
        <v>153</v>
      </c>
      <c r="I124" s="99" t="s">
        <v>81</v>
      </c>
      <c r="J124" s="53">
        <v>171.0</v>
      </c>
      <c r="K124" s="95">
        <v>171.0</v>
      </c>
      <c r="L124" s="100">
        <f t="shared" si="5"/>
        <v>0</v>
      </c>
      <c r="M124" s="101"/>
    </row>
    <row r="125" ht="21.75" customHeight="1">
      <c r="A125" s="93" t="s">
        <v>344</v>
      </c>
      <c r="B125" s="74" t="s">
        <v>338</v>
      </c>
      <c r="C125" s="57" t="s">
        <v>286</v>
      </c>
      <c r="D125" s="57" t="s">
        <v>243</v>
      </c>
      <c r="E125" s="57"/>
      <c r="F125" s="57"/>
      <c r="G125" s="57" t="s">
        <v>75</v>
      </c>
      <c r="H125" s="57" t="s">
        <v>153</v>
      </c>
      <c r="I125" s="99" t="s">
        <v>81</v>
      </c>
      <c r="J125" s="59">
        <v>171.0</v>
      </c>
      <c r="K125" s="95">
        <v>171.0</v>
      </c>
      <c r="L125" s="96">
        <f t="shared" si="5"/>
        <v>0</v>
      </c>
      <c r="M125" s="97"/>
    </row>
    <row r="126" ht="21.75" customHeight="1">
      <c r="A126" s="98" t="s">
        <v>345</v>
      </c>
      <c r="B126" s="78" t="s">
        <v>278</v>
      </c>
      <c r="C126" s="51"/>
      <c r="D126" s="51" t="s">
        <v>243</v>
      </c>
      <c r="E126" s="51"/>
      <c r="F126" s="51"/>
      <c r="G126" s="51" t="s">
        <v>75</v>
      </c>
      <c r="H126" s="51" t="s">
        <v>153</v>
      </c>
      <c r="I126" s="99" t="s">
        <v>81</v>
      </c>
      <c r="J126" s="53">
        <v>171.0</v>
      </c>
      <c r="K126" s="95">
        <v>171.0</v>
      </c>
      <c r="L126" s="100">
        <f t="shared" si="5"/>
        <v>0</v>
      </c>
      <c r="M126" s="101"/>
    </row>
    <row r="127" ht="21.75" customHeight="1">
      <c r="A127" s="93" t="s">
        <v>346</v>
      </c>
      <c r="B127" s="74" t="s">
        <v>347</v>
      </c>
      <c r="C127" s="57"/>
      <c r="D127" s="57" t="s">
        <v>243</v>
      </c>
      <c r="E127" s="57"/>
      <c r="F127" s="57"/>
      <c r="G127" s="57" t="s">
        <v>75</v>
      </c>
      <c r="H127" s="57" t="s">
        <v>153</v>
      </c>
      <c r="I127" s="99" t="s">
        <v>81</v>
      </c>
      <c r="J127" s="59">
        <v>171.0</v>
      </c>
      <c r="K127" s="95">
        <v>171.0</v>
      </c>
      <c r="L127" s="96">
        <f t="shared" si="5"/>
        <v>0</v>
      </c>
      <c r="M127" s="97"/>
    </row>
    <row r="128" ht="21.75" customHeight="1">
      <c r="A128" s="98" t="s">
        <v>348</v>
      </c>
      <c r="B128" s="78" t="s">
        <v>349</v>
      </c>
      <c r="C128" s="51"/>
      <c r="D128" s="51" t="s">
        <v>243</v>
      </c>
      <c r="E128" s="51"/>
      <c r="F128" s="51"/>
      <c r="G128" s="51" t="s">
        <v>75</v>
      </c>
      <c r="H128" s="51" t="s">
        <v>153</v>
      </c>
      <c r="I128" s="99" t="s">
        <v>81</v>
      </c>
      <c r="J128" s="53">
        <v>171.0</v>
      </c>
      <c r="K128" s="95">
        <v>171.0</v>
      </c>
      <c r="L128" s="100">
        <f t="shared" si="5"/>
        <v>0</v>
      </c>
      <c r="M128" s="101"/>
    </row>
    <row r="129" ht="21.75" customHeight="1">
      <c r="A129" s="93" t="s">
        <v>350</v>
      </c>
      <c r="B129" s="74" t="s">
        <v>351</v>
      </c>
      <c r="C129" s="57"/>
      <c r="D129" s="57" t="s">
        <v>243</v>
      </c>
      <c r="E129" s="57" t="s">
        <v>352</v>
      </c>
      <c r="F129" s="57"/>
      <c r="G129" s="57" t="s">
        <v>75</v>
      </c>
      <c r="H129" s="57" t="s">
        <v>153</v>
      </c>
      <c r="I129" s="99" t="s">
        <v>81</v>
      </c>
      <c r="J129" s="59">
        <v>171.0</v>
      </c>
      <c r="K129" s="95">
        <v>171.0</v>
      </c>
      <c r="L129" s="96">
        <f t="shared" si="5"/>
        <v>0</v>
      </c>
      <c r="M129" s="97"/>
    </row>
    <row r="130" ht="21.75" customHeight="1">
      <c r="A130" s="98" t="s">
        <v>353</v>
      </c>
      <c r="B130" s="78" t="s">
        <v>351</v>
      </c>
      <c r="C130" s="51"/>
      <c r="D130" s="51" t="s">
        <v>243</v>
      </c>
      <c r="E130" s="51"/>
      <c r="F130" s="51"/>
      <c r="G130" s="51" t="s">
        <v>75</v>
      </c>
      <c r="H130" s="51" t="s">
        <v>153</v>
      </c>
      <c r="I130" s="99" t="s">
        <v>81</v>
      </c>
      <c r="J130" s="53">
        <v>171.0</v>
      </c>
      <c r="K130" s="95">
        <v>171.0</v>
      </c>
      <c r="L130" s="100">
        <f t="shared" si="5"/>
        <v>0</v>
      </c>
      <c r="M130" s="101"/>
    </row>
    <row r="131" ht="21.75" customHeight="1">
      <c r="A131" s="93" t="s">
        <v>354</v>
      </c>
      <c r="B131" s="74" t="s">
        <v>351</v>
      </c>
      <c r="C131" s="57"/>
      <c r="D131" s="57" t="s">
        <v>243</v>
      </c>
      <c r="E131" s="57"/>
      <c r="F131" s="57"/>
      <c r="G131" s="57" t="s">
        <v>75</v>
      </c>
      <c r="H131" s="57" t="s">
        <v>153</v>
      </c>
      <c r="I131" s="99" t="s">
        <v>81</v>
      </c>
      <c r="J131" s="59">
        <v>171.0</v>
      </c>
      <c r="K131" s="95">
        <v>171.0</v>
      </c>
      <c r="L131" s="96">
        <f t="shared" si="5"/>
        <v>0</v>
      </c>
      <c r="M131" s="97"/>
    </row>
    <row r="132" ht="21.75" customHeight="1">
      <c r="A132" s="98" t="s">
        <v>355</v>
      </c>
      <c r="B132" s="78" t="s">
        <v>356</v>
      </c>
      <c r="C132" s="51"/>
      <c r="D132" s="51" t="s">
        <v>243</v>
      </c>
      <c r="E132" s="51"/>
      <c r="F132" s="51"/>
      <c r="G132" s="51" t="s">
        <v>75</v>
      </c>
      <c r="H132" s="51" t="s">
        <v>153</v>
      </c>
      <c r="I132" s="99" t="s">
        <v>81</v>
      </c>
      <c r="J132" s="53">
        <v>171.0</v>
      </c>
      <c r="K132" s="95">
        <v>171.0</v>
      </c>
      <c r="L132" s="100">
        <f t="shared" si="5"/>
        <v>0</v>
      </c>
      <c r="M132" s="101"/>
    </row>
    <row r="133" ht="21.75" customHeight="1">
      <c r="A133" s="93" t="s">
        <v>357</v>
      </c>
      <c r="B133" s="74" t="s">
        <v>356</v>
      </c>
      <c r="C133" s="57"/>
      <c r="D133" s="57" t="s">
        <v>243</v>
      </c>
      <c r="E133" s="57"/>
      <c r="F133" s="57"/>
      <c r="G133" s="57" t="s">
        <v>75</v>
      </c>
      <c r="H133" s="57" t="s">
        <v>153</v>
      </c>
      <c r="I133" s="99" t="s">
        <v>81</v>
      </c>
      <c r="J133" s="59">
        <v>171.0</v>
      </c>
      <c r="K133" s="95">
        <v>171.0</v>
      </c>
      <c r="L133" s="96">
        <f t="shared" si="5"/>
        <v>0</v>
      </c>
      <c r="M133" s="97"/>
    </row>
    <row r="134" ht="21.75" customHeight="1">
      <c r="A134" s="98" t="s">
        <v>358</v>
      </c>
      <c r="B134" s="78" t="s">
        <v>359</v>
      </c>
      <c r="C134" s="51"/>
      <c r="D134" s="51" t="s">
        <v>243</v>
      </c>
      <c r="E134" s="51"/>
      <c r="F134" s="51"/>
      <c r="G134" s="51" t="s">
        <v>75</v>
      </c>
      <c r="H134" s="51" t="s">
        <v>153</v>
      </c>
      <c r="I134" s="99" t="s">
        <v>81</v>
      </c>
      <c r="J134" s="53">
        <v>171.0</v>
      </c>
      <c r="K134" s="95">
        <v>171.0</v>
      </c>
      <c r="L134" s="100">
        <f t="shared" si="5"/>
        <v>0</v>
      </c>
      <c r="M134" s="101"/>
    </row>
    <row r="135" ht="21.75" customHeight="1">
      <c r="A135" s="93" t="s">
        <v>360</v>
      </c>
      <c r="B135" s="74" t="s">
        <v>250</v>
      </c>
      <c r="C135" s="57" t="s">
        <v>151</v>
      </c>
      <c r="D135" s="57" t="s">
        <v>243</v>
      </c>
      <c r="E135" s="57"/>
      <c r="F135" s="57"/>
      <c r="G135" s="57" t="s">
        <v>75</v>
      </c>
      <c r="H135" s="57" t="s">
        <v>153</v>
      </c>
      <c r="I135" s="99" t="s">
        <v>81</v>
      </c>
      <c r="J135" s="59">
        <v>289.0</v>
      </c>
      <c r="K135" s="95">
        <v>289.0</v>
      </c>
      <c r="L135" s="96">
        <f t="shared" si="5"/>
        <v>0</v>
      </c>
      <c r="M135" s="97"/>
    </row>
    <row r="136" ht="21.75" customHeight="1">
      <c r="A136" s="98" t="s">
        <v>361</v>
      </c>
      <c r="B136" s="78" t="s">
        <v>250</v>
      </c>
      <c r="C136" s="51" t="s">
        <v>151</v>
      </c>
      <c r="D136" s="51" t="s">
        <v>243</v>
      </c>
      <c r="E136" s="51"/>
      <c r="F136" s="51"/>
      <c r="G136" s="51" t="s">
        <v>75</v>
      </c>
      <c r="H136" s="51" t="s">
        <v>153</v>
      </c>
      <c r="I136" s="99" t="s">
        <v>81</v>
      </c>
      <c r="J136" s="53">
        <v>289.0</v>
      </c>
      <c r="K136" s="95">
        <v>289.0</v>
      </c>
      <c r="L136" s="100">
        <f t="shared" si="5"/>
        <v>0</v>
      </c>
      <c r="M136" s="101"/>
    </row>
    <row r="137" ht="21.75" customHeight="1">
      <c r="A137" s="93" t="s">
        <v>362</v>
      </c>
      <c r="B137" s="74" t="s">
        <v>250</v>
      </c>
      <c r="C137" s="57" t="s">
        <v>151</v>
      </c>
      <c r="D137" s="57" t="s">
        <v>243</v>
      </c>
      <c r="E137" s="57"/>
      <c r="F137" s="57"/>
      <c r="G137" s="57" t="s">
        <v>75</v>
      </c>
      <c r="H137" s="57" t="s">
        <v>153</v>
      </c>
      <c r="I137" s="99" t="s">
        <v>81</v>
      </c>
      <c r="J137" s="59">
        <v>289.0</v>
      </c>
      <c r="K137" s="95">
        <v>289.0</v>
      </c>
      <c r="L137" s="96">
        <f t="shared" si="5"/>
        <v>0</v>
      </c>
      <c r="M137" s="97"/>
    </row>
    <row r="138" ht="21.75" customHeight="1">
      <c r="A138" s="98" t="s">
        <v>363</v>
      </c>
      <c r="B138" s="78" t="s">
        <v>250</v>
      </c>
      <c r="C138" s="51" t="s">
        <v>151</v>
      </c>
      <c r="D138" s="51" t="s">
        <v>243</v>
      </c>
      <c r="E138" s="51"/>
      <c r="F138" s="51"/>
      <c r="G138" s="51" t="s">
        <v>75</v>
      </c>
      <c r="H138" s="51" t="s">
        <v>153</v>
      </c>
      <c r="I138" s="99" t="s">
        <v>81</v>
      </c>
      <c r="J138" s="53">
        <v>289.0</v>
      </c>
      <c r="K138" s="95">
        <v>289.0</v>
      </c>
      <c r="L138" s="100">
        <f t="shared" si="5"/>
        <v>0</v>
      </c>
      <c r="M138" s="101"/>
    </row>
    <row r="139" ht="21.75" customHeight="1">
      <c r="A139" s="93" t="s">
        <v>364</v>
      </c>
      <c r="B139" s="74" t="s">
        <v>250</v>
      </c>
      <c r="C139" s="57" t="s">
        <v>151</v>
      </c>
      <c r="D139" s="57" t="s">
        <v>243</v>
      </c>
      <c r="E139" s="57"/>
      <c r="F139" s="57"/>
      <c r="G139" s="57" t="s">
        <v>75</v>
      </c>
      <c r="H139" s="57" t="s">
        <v>153</v>
      </c>
      <c r="I139" s="99" t="s">
        <v>81</v>
      </c>
      <c r="J139" s="59">
        <v>289.0</v>
      </c>
      <c r="K139" s="95">
        <v>289.0</v>
      </c>
      <c r="L139" s="96">
        <f t="shared" si="5"/>
        <v>0</v>
      </c>
      <c r="M139" s="97"/>
    </row>
    <row r="140" ht="21.75" customHeight="1">
      <c r="A140" s="98" t="s">
        <v>365</v>
      </c>
      <c r="B140" s="78" t="s">
        <v>250</v>
      </c>
      <c r="C140" s="51" t="s">
        <v>151</v>
      </c>
      <c r="D140" s="51" t="s">
        <v>243</v>
      </c>
      <c r="E140" s="51"/>
      <c r="F140" s="51"/>
      <c r="G140" s="51" t="s">
        <v>75</v>
      </c>
      <c r="H140" s="51" t="s">
        <v>153</v>
      </c>
      <c r="I140" s="99" t="s">
        <v>81</v>
      </c>
      <c r="J140" s="53">
        <v>289.0</v>
      </c>
      <c r="K140" s="95">
        <v>289.0</v>
      </c>
      <c r="L140" s="100">
        <f t="shared" si="5"/>
        <v>0</v>
      </c>
      <c r="M140" s="101"/>
    </row>
    <row r="141" ht="21.75" customHeight="1">
      <c r="A141" s="93" t="s">
        <v>366</v>
      </c>
      <c r="B141" s="74" t="s">
        <v>250</v>
      </c>
      <c r="C141" s="57" t="s">
        <v>151</v>
      </c>
      <c r="D141" s="57" t="s">
        <v>243</v>
      </c>
      <c r="E141" s="57"/>
      <c r="F141" s="57"/>
      <c r="G141" s="57" t="s">
        <v>75</v>
      </c>
      <c r="H141" s="57" t="s">
        <v>153</v>
      </c>
      <c r="I141" s="99" t="s">
        <v>81</v>
      </c>
      <c r="J141" s="59">
        <v>289.0</v>
      </c>
      <c r="K141" s="95">
        <v>289.0</v>
      </c>
      <c r="L141" s="96">
        <f t="shared" si="5"/>
        <v>0</v>
      </c>
      <c r="M141" s="97"/>
    </row>
    <row r="142" ht="21.75" customHeight="1">
      <c r="A142" s="98" t="s">
        <v>367</v>
      </c>
      <c r="B142" s="78" t="s">
        <v>250</v>
      </c>
      <c r="C142" s="51" t="s">
        <v>151</v>
      </c>
      <c r="D142" s="51" t="s">
        <v>243</v>
      </c>
      <c r="E142" s="51"/>
      <c r="F142" s="51"/>
      <c r="G142" s="51" t="s">
        <v>75</v>
      </c>
      <c r="H142" s="51" t="s">
        <v>153</v>
      </c>
      <c r="I142" s="99" t="s">
        <v>81</v>
      </c>
      <c r="J142" s="53">
        <v>289.0</v>
      </c>
      <c r="K142" s="95">
        <v>289.0</v>
      </c>
      <c r="L142" s="100">
        <f t="shared" si="5"/>
        <v>0</v>
      </c>
      <c r="M142" s="101"/>
    </row>
    <row r="143" ht="21.75" customHeight="1">
      <c r="A143" s="93" t="s">
        <v>368</v>
      </c>
      <c r="B143" s="74" t="s">
        <v>250</v>
      </c>
      <c r="C143" s="57" t="s">
        <v>151</v>
      </c>
      <c r="D143" s="57" t="s">
        <v>243</v>
      </c>
      <c r="E143" s="57"/>
      <c r="F143" s="57"/>
      <c r="G143" s="57" t="s">
        <v>75</v>
      </c>
      <c r="H143" s="57" t="s">
        <v>153</v>
      </c>
      <c r="I143" s="99" t="s">
        <v>81</v>
      </c>
      <c r="J143" s="59">
        <v>289.0</v>
      </c>
      <c r="K143" s="95">
        <v>289.0</v>
      </c>
      <c r="L143" s="96">
        <f t="shared" si="5"/>
        <v>0</v>
      </c>
      <c r="M143" s="97"/>
    </row>
    <row r="144" ht="21.75" customHeight="1">
      <c r="A144" s="98" t="s">
        <v>369</v>
      </c>
      <c r="B144" s="78" t="s">
        <v>302</v>
      </c>
      <c r="C144" s="51" t="s">
        <v>297</v>
      </c>
      <c r="D144" s="51" t="s">
        <v>243</v>
      </c>
      <c r="E144" s="51" t="s">
        <v>370</v>
      </c>
      <c r="F144" s="51"/>
      <c r="G144" s="51" t="s">
        <v>75</v>
      </c>
      <c r="H144" s="51" t="s">
        <v>153</v>
      </c>
      <c r="I144" s="99" t="s">
        <v>81</v>
      </c>
      <c r="J144" s="53">
        <v>799.0</v>
      </c>
      <c r="K144" s="95">
        <v>844.7</v>
      </c>
      <c r="L144" s="100">
        <f t="shared" si="5"/>
        <v>-0.05719649562</v>
      </c>
      <c r="M144" s="101"/>
    </row>
    <row r="145" ht="21.75" customHeight="1">
      <c r="A145" s="93" t="s">
        <v>371</v>
      </c>
      <c r="B145" s="74" t="s">
        <v>283</v>
      </c>
      <c r="C145" s="57" t="s">
        <v>283</v>
      </c>
      <c r="D145" s="57" t="s">
        <v>243</v>
      </c>
      <c r="E145" s="57"/>
      <c r="F145" s="57"/>
      <c r="G145" s="57" t="s">
        <v>75</v>
      </c>
      <c r="H145" s="57" t="s">
        <v>153</v>
      </c>
      <c r="I145" s="99" t="s">
        <v>81</v>
      </c>
      <c r="J145" s="59">
        <v>450.0</v>
      </c>
      <c r="K145" s="95">
        <v>450.0</v>
      </c>
      <c r="L145" s="96">
        <f t="shared" si="5"/>
        <v>0</v>
      </c>
      <c r="M145" s="97"/>
    </row>
    <row r="146" ht="24.0" customHeight="1">
      <c r="A146" s="92" t="s">
        <v>372</v>
      </c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5"/>
    </row>
    <row r="147" ht="21.75" customHeight="1">
      <c r="A147" s="98" t="s">
        <v>373</v>
      </c>
      <c r="B147" s="78" t="s">
        <v>374</v>
      </c>
      <c r="C147" s="51"/>
      <c r="D147" s="51" t="s">
        <v>375</v>
      </c>
      <c r="E147" s="51"/>
      <c r="F147" s="51"/>
      <c r="G147" s="51" t="s">
        <v>75</v>
      </c>
      <c r="H147" s="51" t="s">
        <v>153</v>
      </c>
      <c r="I147" s="99" t="s">
        <v>81</v>
      </c>
      <c r="J147" s="53">
        <v>3011.0</v>
      </c>
      <c r="K147" s="95">
        <v>3011.0</v>
      </c>
      <c r="L147" s="100">
        <f t="shared" ref="L147:L155" si="6">IF(J147&gt;0,(J147-K147)/J147,"")</f>
        <v>0</v>
      </c>
      <c r="M147" s="101"/>
    </row>
    <row r="148" ht="21.75" customHeight="1">
      <c r="A148" s="93" t="s">
        <v>376</v>
      </c>
      <c r="B148" s="74" t="s">
        <v>377</v>
      </c>
      <c r="C148" s="57" t="s">
        <v>151</v>
      </c>
      <c r="D148" s="57" t="s">
        <v>375</v>
      </c>
      <c r="E148" s="57"/>
      <c r="F148" s="57"/>
      <c r="G148" s="57" t="s">
        <v>75</v>
      </c>
      <c r="H148" s="57" t="s">
        <v>153</v>
      </c>
      <c r="I148" s="99" t="s">
        <v>81</v>
      </c>
      <c r="J148" s="59">
        <v>2700.0</v>
      </c>
      <c r="K148" s="95">
        <v>2700.0</v>
      </c>
      <c r="L148" s="96">
        <f t="shared" si="6"/>
        <v>0</v>
      </c>
      <c r="M148" s="97"/>
    </row>
    <row r="149" ht="21.75" customHeight="1">
      <c r="A149" s="98" t="s">
        <v>378</v>
      </c>
      <c r="B149" s="78" t="s">
        <v>377</v>
      </c>
      <c r="C149" s="51" t="s">
        <v>151</v>
      </c>
      <c r="D149" s="51" t="s">
        <v>375</v>
      </c>
      <c r="E149" s="51"/>
      <c r="F149" s="51"/>
      <c r="G149" s="51" t="s">
        <v>75</v>
      </c>
      <c r="H149" s="51" t="s">
        <v>153</v>
      </c>
      <c r="I149" s="99" t="s">
        <v>81</v>
      </c>
      <c r="J149" s="53">
        <v>2700.0</v>
      </c>
      <c r="K149" s="95">
        <v>2700.0</v>
      </c>
      <c r="L149" s="100">
        <f t="shared" si="6"/>
        <v>0</v>
      </c>
      <c r="M149" s="101"/>
    </row>
    <row r="150" ht="21.75" customHeight="1">
      <c r="A150" s="93" t="s">
        <v>379</v>
      </c>
      <c r="B150" s="74" t="s">
        <v>377</v>
      </c>
      <c r="C150" s="57" t="s">
        <v>151</v>
      </c>
      <c r="D150" s="57" t="s">
        <v>375</v>
      </c>
      <c r="E150" s="57"/>
      <c r="F150" s="57"/>
      <c r="G150" s="57" t="s">
        <v>75</v>
      </c>
      <c r="H150" s="57" t="s">
        <v>153</v>
      </c>
      <c r="I150" s="99" t="s">
        <v>81</v>
      </c>
      <c r="J150" s="59">
        <v>2700.0</v>
      </c>
      <c r="K150" s="95">
        <v>2700.0</v>
      </c>
      <c r="L150" s="96">
        <f t="shared" si="6"/>
        <v>0</v>
      </c>
      <c r="M150" s="97"/>
    </row>
    <row r="151" ht="21.75" customHeight="1">
      <c r="A151" s="98" t="s">
        <v>380</v>
      </c>
      <c r="B151" s="78" t="s">
        <v>377</v>
      </c>
      <c r="C151" s="51" t="s">
        <v>151</v>
      </c>
      <c r="D151" s="51" t="s">
        <v>375</v>
      </c>
      <c r="E151" s="51"/>
      <c r="F151" s="51"/>
      <c r="G151" s="51" t="s">
        <v>75</v>
      </c>
      <c r="H151" s="51" t="s">
        <v>153</v>
      </c>
      <c r="I151" s="99" t="s">
        <v>81</v>
      </c>
      <c r="J151" s="53">
        <v>2700.0</v>
      </c>
      <c r="K151" s="95">
        <v>2700.0</v>
      </c>
      <c r="L151" s="100">
        <f t="shared" si="6"/>
        <v>0</v>
      </c>
      <c r="M151" s="101"/>
    </row>
    <row r="152" ht="21.75" customHeight="1">
      <c r="A152" s="93" t="s">
        <v>381</v>
      </c>
      <c r="B152" s="74" t="s">
        <v>377</v>
      </c>
      <c r="C152" s="57" t="s">
        <v>151</v>
      </c>
      <c r="D152" s="57" t="s">
        <v>375</v>
      </c>
      <c r="E152" s="57"/>
      <c r="F152" s="57"/>
      <c r="G152" s="57" t="s">
        <v>75</v>
      </c>
      <c r="H152" s="57" t="s">
        <v>153</v>
      </c>
      <c r="I152" s="99" t="s">
        <v>81</v>
      </c>
      <c r="J152" s="59">
        <v>2700.0</v>
      </c>
      <c r="K152" s="95">
        <v>2700.0</v>
      </c>
      <c r="L152" s="96">
        <f t="shared" si="6"/>
        <v>0</v>
      </c>
      <c r="M152" s="97"/>
    </row>
    <row r="153" ht="21.75" customHeight="1">
      <c r="A153" s="98" t="s">
        <v>382</v>
      </c>
      <c r="B153" s="78" t="s">
        <v>377</v>
      </c>
      <c r="C153" s="51" t="s">
        <v>151</v>
      </c>
      <c r="D153" s="51" t="s">
        <v>375</v>
      </c>
      <c r="E153" s="51"/>
      <c r="F153" s="51"/>
      <c r="G153" s="51" t="s">
        <v>75</v>
      </c>
      <c r="H153" s="51" t="s">
        <v>153</v>
      </c>
      <c r="I153" s="99" t="s">
        <v>81</v>
      </c>
      <c r="J153" s="53">
        <v>2700.0</v>
      </c>
      <c r="K153" s="95">
        <v>2700.0</v>
      </c>
      <c r="L153" s="100">
        <f t="shared" si="6"/>
        <v>0</v>
      </c>
      <c r="M153" s="101"/>
    </row>
    <row r="154" ht="21.75" customHeight="1">
      <c r="A154" s="93" t="s">
        <v>383</v>
      </c>
      <c r="B154" s="74" t="s">
        <v>374</v>
      </c>
      <c r="C154" s="57"/>
      <c r="D154" s="57" t="s">
        <v>375</v>
      </c>
      <c r="E154" s="57"/>
      <c r="F154" s="57"/>
      <c r="G154" s="57" t="s">
        <v>75</v>
      </c>
      <c r="H154" s="57" t="s">
        <v>153</v>
      </c>
      <c r="I154" s="99" t="s">
        <v>81</v>
      </c>
      <c r="J154" s="59">
        <v>3011.0</v>
      </c>
      <c r="K154" s="95">
        <v>3011.0</v>
      </c>
      <c r="L154" s="96">
        <f t="shared" si="6"/>
        <v>0</v>
      </c>
      <c r="M154" s="97"/>
    </row>
    <row r="155" ht="21.75" customHeight="1">
      <c r="A155" s="98" t="s">
        <v>384</v>
      </c>
      <c r="B155" s="78" t="s">
        <v>374</v>
      </c>
      <c r="C155" s="51"/>
      <c r="D155" s="51" t="s">
        <v>375</v>
      </c>
      <c r="E155" s="51"/>
      <c r="F155" s="51"/>
      <c r="G155" s="51" t="s">
        <v>75</v>
      </c>
      <c r="H155" s="51" t="s">
        <v>153</v>
      </c>
      <c r="I155" s="99" t="s">
        <v>81</v>
      </c>
      <c r="J155" s="53">
        <v>3011.0</v>
      </c>
      <c r="K155" s="95">
        <v>3011.0</v>
      </c>
      <c r="L155" s="100">
        <f t="shared" si="6"/>
        <v>0</v>
      </c>
      <c r="M155" s="101"/>
    </row>
    <row r="156" ht="24.0" customHeight="1">
      <c r="A156" s="92" t="s">
        <v>385</v>
      </c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5"/>
    </row>
    <row r="157" ht="21.75" customHeight="1">
      <c r="A157" s="93" t="s">
        <v>386</v>
      </c>
      <c r="B157" s="74" t="s">
        <v>387</v>
      </c>
      <c r="C157" s="57"/>
      <c r="D157" s="57" t="s">
        <v>388</v>
      </c>
      <c r="E157" s="57"/>
      <c r="F157" s="57"/>
      <c r="G157" s="57" t="s">
        <v>75</v>
      </c>
      <c r="H157" s="57" t="s">
        <v>153</v>
      </c>
      <c r="I157" s="99" t="s">
        <v>81</v>
      </c>
      <c r="J157" s="59">
        <v>799.0</v>
      </c>
      <c r="K157" s="95">
        <v>639.0</v>
      </c>
      <c r="L157" s="96">
        <f>IF(J157&gt;0,(J157-K157)/J157,"")</f>
        <v>0.2002503129</v>
      </c>
      <c r="M157" s="97"/>
    </row>
    <row r="158" ht="24.0" customHeight="1">
      <c r="A158" s="92" t="s">
        <v>389</v>
      </c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5"/>
    </row>
    <row r="159" ht="21.75" customHeight="1">
      <c r="A159" s="98" t="s">
        <v>390</v>
      </c>
      <c r="B159" s="78" t="s">
        <v>391</v>
      </c>
      <c r="C159" s="51" t="s">
        <v>228</v>
      </c>
      <c r="D159" s="51" t="s">
        <v>392</v>
      </c>
      <c r="E159" s="51"/>
      <c r="F159" s="51"/>
      <c r="G159" s="51" t="s">
        <v>75</v>
      </c>
      <c r="H159" s="51" t="s">
        <v>153</v>
      </c>
      <c r="I159" s="99" t="s">
        <v>81</v>
      </c>
      <c r="J159" s="53">
        <v>1068.47</v>
      </c>
      <c r="K159" s="95">
        <v>1068.47</v>
      </c>
      <c r="L159" s="100">
        <f t="shared" ref="L159:L163" si="7">IF(J159&gt;0,(J159-K159)/J159,"")</f>
        <v>0</v>
      </c>
      <c r="M159" s="101"/>
    </row>
    <row r="160" ht="21.75" customHeight="1">
      <c r="A160" s="93" t="s">
        <v>393</v>
      </c>
      <c r="B160" s="74" t="s">
        <v>394</v>
      </c>
      <c r="C160" s="57" t="s">
        <v>395</v>
      </c>
      <c r="D160" s="57" t="s">
        <v>392</v>
      </c>
      <c r="E160" s="57"/>
      <c r="F160" s="57"/>
      <c r="G160" s="57" t="s">
        <v>75</v>
      </c>
      <c r="H160" s="57" t="s">
        <v>153</v>
      </c>
      <c r="I160" s="99" t="s">
        <v>81</v>
      </c>
      <c r="J160" s="59">
        <v>412.95</v>
      </c>
      <c r="K160" s="95">
        <v>412.95</v>
      </c>
      <c r="L160" s="96">
        <f t="shared" si="7"/>
        <v>0</v>
      </c>
      <c r="M160" s="97"/>
    </row>
    <row r="161" ht="21.75" customHeight="1">
      <c r="A161" s="98" t="s">
        <v>396</v>
      </c>
      <c r="B161" s="78" t="s">
        <v>397</v>
      </c>
      <c r="C161" s="51" t="s">
        <v>398</v>
      </c>
      <c r="D161" s="51" t="s">
        <v>392</v>
      </c>
      <c r="E161" s="51"/>
      <c r="F161" s="51"/>
      <c r="G161" s="51" t="s">
        <v>75</v>
      </c>
      <c r="H161" s="51" t="s">
        <v>153</v>
      </c>
      <c r="I161" s="102" t="s">
        <v>132</v>
      </c>
      <c r="J161" s="53">
        <v>1724.0</v>
      </c>
      <c r="K161" s="95">
        <v>1724.0</v>
      </c>
      <c r="L161" s="100">
        <f t="shared" si="7"/>
        <v>0</v>
      </c>
      <c r="M161" s="101"/>
    </row>
    <row r="162" ht="21.75" customHeight="1">
      <c r="A162" s="93" t="s">
        <v>399</v>
      </c>
      <c r="B162" s="74" t="s">
        <v>400</v>
      </c>
      <c r="C162" s="57" t="s">
        <v>401</v>
      </c>
      <c r="D162" s="57" t="s">
        <v>392</v>
      </c>
      <c r="E162" s="57"/>
      <c r="F162" s="57"/>
      <c r="G162" s="57" t="s">
        <v>75</v>
      </c>
      <c r="H162" s="57" t="s">
        <v>153</v>
      </c>
      <c r="I162" s="102" t="s">
        <v>132</v>
      </c>
      <c r="J162" s="59">
        <v>4860.0</v>
      </c>
      <c r="K162" s="95">
        <v>4860.0</v>
      </c>
      <c r="L162" s="96">
        <f t="shared" si="7"/>
        <v>0</v>
      </c>
      <c r="M162" s="97"/>
    </row>
    <row r="163" ht="21.75" customHeight="1">
      <c r="A163" s="98" t="s">
        <v>402</v>
      </c>
      <c r="B163" s="78" t="s">
        <v>403</v>
      </c>
      <c r="C163" s="51" t="s">
        <v>401</v>
      </c>
      <c r="D163" s="51" t="s">
        <v>392</v>
      </c>
      <c r="E163" s="51"/>
      <c r="F163" s="51"/>
      <c r="G163" s="51" t="s">
        <v>75</v>
      </c>
      <c r="H163" s="51" t="s">
        <v>153</v>
      </c>
      <c r="I163" s="99" t="s">
        <v>81</v>
      </c>
      <c r="J163" s="53">
        <v>247.99</v>
      </c>
      <c r="K163" s="95">
        <v>407.0</v>
      </c>
      <c r="L163" s="100">
        <f t="shared" si="7"/>
        <v>-0.6411952095</v>
      </c>
      <c r="M163" s="101"/>
    </row>
    <row r="164" ht="24.0" customHeight="1">
      <c r="A164" s="92" t="s">
        <v>404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5"/>
    </row>
    <row r="165" ht="21.75" customHeight="1">
      <c r="A165" s="93" t="s">
        <v>405</v>
      </c>
      <c r="B165" s="74" t="s">
        <v>406</v>
      </c>
      <c r="C165" s="57"/>
      <c r="D165" s="57" t="s">
        <v>407</v>
      </c>
      <c r="E165" s="57"/>
      <c r="F165" s="57"/>
      <c r="G165" s="57" t="s">
        <v>75</v>
      </c>
      <c r="H165" s="57" t="s">
        <v>153</v>
      </c>
      <c r="I165" s="99" t="s">
        <v>81</v>
      </c>
      <c r="J165" s="59">
        <v>1245.0</v>
      </c>
      <c r="K165" s="95">
        <v>995.0</v>
      </c>
      <c r="L165" s="96">
        <f t="shared" ref="L165:L170" si="8">IF(J165&gt;0,(J165-K165)/J165,"")</f>
        <v>0.2008032129</v>
      </c>
      <c r="M165" s="97"/>
    </row>
    <row r="166" ht="21.75" customHeight="1">
      <c r="A166" s="98" t="s">
        <v>408</v>
      </c>
      <c r="B166" s="78" t="s">
        <v>409</v>
      </c>
      <c r="C166" s="51"/>
      <c r="D166" s="51" t="s">
        <v>407</v>
      </c>
      <c r="E166" s="51"/>
      <c r="F166" s="51"/>
      <c r="G166" s="51" t="s">
        <v>75</v>
      </c>
      <c r="H166" s="51" t="s">
        <v>153</v>
      </c>
      <c r="I166" s="99" t="s">
        <v>81</v>
      </c>
      <c r="J166" s="53">
        <v>1245.0</v>
      </c>
      <c r="K166" s="95">
        <v>995.0</v>
      </c>
      <c r="L166" s="100">
        <f t="shared" si="8"/>
        <v>0.2008032129</v>
      </c>
      <c r="M166" s="101"/>
    </row>
    <row r="167" ht="21.75" customHeight="1">
      <c r="A167" s="93" t="s">
        <v>410</v>
      </c>
      <c r="B167" s="74" t="s">
        <v>409</v>
      </c>
      <c r="C167" s="57"/>
      <c r="D167" s="57" t="s">
        <v>407</v>
      </c>
      <c r="E167" s="57"/>
      <c r="F167" s="57"/>
      <c r="G167" s="57" t="s">
        <v>75</v>
      </c>
      <c r="H167" s="57" t="s">
        <v>153</v>
      </c>
      <c r="I167" s="99" t="s">
        <v>81</v>
      </c>
      <c r="J167" s="59">
        <v>1245.0</v>
      </c>
      <c r="K167" s="95">
        <v>995.0</v>
      </c>
      <c r="L167" s="96">
        <f t="shared" si="8"/>
        <v>0.2008032129</v>
      </c>
      <c r="M167" s="97"/>
    </row>
    <row r="168" ht="21.75" customHeight="1">
      <c r="A168" s="98" t="s">
        <v>411</v>
      </c>
      <c r="B168" s="78" t="s">
        <v>409</v>
      </c>
      <c r="C168" s="51"/>
      <c r="D168" s="51" t="s">
        <v>407</v>
      </c>
      <c r="E168" s="51"/>
      <c r="F168" s="51"/>
      <c r="G168" s="51" t="s">
        <v>75</v>
      </c>
      <c r="H168" s="51" t="s">
        <v>153</v>
      </c>
      <c r="I168" s="99" t="s">
        <v>81</v>
      </c>
      <c r="J168" s="53">
        <v>1245.0</v>
      </c>
      <c r="K168" s="95">
        <v>995.0</v>
      </c>
      <c r="L168" s="100">
        <f t="shared" si="8"/>
        <v>0.2008032129</v>
      </c>
      <c r="M168" s="101"/>
    </row>
    <row r="169" ht="21.75" customHeight="1">
      <c r="A169" s="93" t="s">
        <v>412</v>
      </c>
      <c r="B169" s="74" t="s">
        <v>409</v>
      </c>
      <c r="C169" s="57"/>
      <c r="D169" s="57" t="s">
        <v>407</v>
      </c>
      <c r="E169" s="57"/>
      <c r="F169" s="57"/>
      <c r="G169" s="57" t="s">
        <v>75</v>
      </c>
      <c r="H169" s="57" t="s">
        <v>153</v>
      </c>
      <c r="I169" s="99" t="s">
        <v>81</v>
      </c>
      <c r="J169" s="59">
        <v>1245.0</v>
      </c>
      <c r="K169" s="95">
        <v>995.0</v>
      </c>
      <c r="L169" s="96">
        <f t="shared" si="8"/>
        <v>0.2008032129</v>
      </c>
      <c r="M169" s="97"/>
    </row>
    <row r="170" ht="21.75" customHeight="1">
      <c r="A170" s="98" t="s">
        <v>413</v>
      </c>
      <c r="B170" s="78" t="s">
        <v>406</v>
      </c>
      <c r="C170" s="51"/>
      <c r="D170" s="51" t="s">
        <v>407</v>
      </c>
      <c r="E170" s="51"/>
      <c r="F170" s="51"/>
      <c r="G170" s="51" t="s">
        <v>75</v>
      </c>
      <c r="H170" s="51" t="s">
        <v>153</v>
      </c>
      <c r="I170" s="99" t="s">
        <v>81</v>
      </c>
      <c r="J170" s="53">
        <v>1245.0</v>
      </c>
      <c r="K170" s="95">
        <v>995.0</v>
      </c>
      <c r="L170" s="100">
        <f t="shared" si="8"/>
        <v>0.2008032129</v>
      </c>
      <c r="M170" s="101"/>
    </row>
    <row r="171" ht="24.0" customHeight="1">
      <c r="A171" s="92" t="s">
        <v>414</v>
      </c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5"/>
    </row>
    <row r="172" ht="21.75" customHeight="1">
      <c r="A172" s="93" t="s">
        <v>415</v>
      </c>
      <c r="B172" s="74" t="s">
        <v>416</v>
      </c>
      <c r="C172" s="57"/>
      <c r="D172" s="57" t="s">
        <v>417</v>
      </c>
      <c r="E172" s="57" t="s">
        <v>418</v>
      </c>
      <c r="F172" s="57"/>
      <c r="G172" s="57" t="s">
        <v>75</v>
      </c>
      <c r="H172" s="57" t="s">
        <v>153</v>
      </c>
      <c r="I172" s="99" t="s">
        <v>81</v>
      </c>
      <c r="J172" s="59">
        <v>675.0</v>
      </c>
      <c r="K172" s="95">
        <v>315.0</v>
      </c>
      <c r="L172" s="96">
        <f t="shared" ref="L172:L195" si="9">IF(J172&gt;0,(J172-K172)/J172,"")</f>
        <v>0.5333333333</v>
      </c>
      <c r="M172" s="97"/>
    </row>
    <row r="173" ht="21.75" customHeight="1">
      <c r="A173" s="98" t="s">
        <v>419</v>
      </c>
      <c r="B173" s="78" t="s">
        <v>420</v>
      </c>
      <c r="C173" s="51"/>
      <c r="D173" s="51" t="s">
        <v>417</v>
      </c>
      <c r="E173" s="51" t="s">
        <v>421</v>
      </c>
      <c r="F173" s="51"/>
      <c r="G173" s="51" t="s">
        <v>75</v>
      </c>
      <c r="H173" s="51" t="s">
        <v>153</v>
      </c>
      <c r="I173" s="99" t="s">
        <v>81</v>
      </c>
      <c r="J173" s="53">
        <v>675.0</v>
      </c>
      <c r="K173" s="95">
        <v>315.0</v>
      </c>
      <c r="L173" s="100">
        <f t="shared" si="9"/>
        <v>0.5333333333</v>
      </c>
      <c r="M173" s="101"/>
    </row>
    <row r="174" ht="21.75" customHeight="1">
      <c r="A174" s="93" t="s">
        <v>422</v>
      </c>
      <c r="B174" s="74" t="s">
        <v>423</v>
      </c>
      <c r="C174" s="57" t="s">
        <v>401</v>
      </c>
      <c r="D174" s="57" t="s">
        <v>417</v>
      </c>
      <c r="E174" s="57"/>
      <c r="F174" s="57"/>
      <c r="G174" s="57" t="s">
        <v>75</v>
      </c>
      <c r="H174" s="57" t="s">
        <v>153</v>
      </c>
      <c r="I174" s="99" t="s">
        <v>81</v>
      </c>
      <c r="J174" s="59">
        <v>936.0</v>
      </c>
      <c r="K174" s="95">
        <v>936.0</v>
      </c>
      <c r="L174" s="96">
        <f t="shared" si="9"/>
        <v>0</v>
      </c>
      <c r="M174" s="97"/>
    </row>
    <row r="175" ht="21.75" customHeight="1">
      <c r="A175" s="98" t="s">
        <v>424</v>
      </c>
      <c r="B175" s="78" t="s">
        <v>425</v>
      </c>
      <c r="C175" s="51" t="s">
        <v>151</v>
      </c>
      <c r="D175" s="51" t="s">
        <v>417</v>
      </c>
      <c r="E175" s="51"/>
      <c r="F175" s="51"/>
      <c r="G175" s="51" t="s">
        <v>75</v>
      </c>
      <c r="H175" s="51" t="s">
        <v>153</v>
      </c>
      <c r="I175" s="99" t="s">
        <v>81</v>
      </c>
      <c r="J175" s="53">
        <v>936.0</v>
      </c>
      <c r="K175" s="95">
        <v>936.0</v>
      </c>
      <c r="L175" s="100">
        <f t="shared" si="9"/>
        <v>0</v>
      </c>
      <c r="M175" s="101"/>
    </row>
    <row r="176" ht="21.75" customHeight="1">
      <c r="A176" s="93" t="s">
        <v>426</v>
      </c>
      <c r="B176" s="74" t="s">
        <v>427</v>
      </c>
      <c r="C176" s="57" t="s">
        <v>151</v>
      </c>
      <c r="D176" s="57" t="s">
        <v>417</v>
      </c>
      <c r="E176" s="57"/>
      <c r="F176" s="57"/>
      <c r="G176" s="57" t="s">
        <v>75</v>
      </c>
      <c r="H176" s="57" t="s">
        <v>153</v>
      </c>
      <c r="I176" s="99" t="s">
        <v>81</v>
      </c>
      <c r="J176" s="59">
        <v>675.0</v>
      </c>
      <c r="K176" s="95">
        <v>639.0</v>
      </c>
      <c r="L176" s="96">
        <f t="shared" si="9"/>
        <v>0.05333333333</v>
      </c>
      <c r="M176" s="97"/>
    </row>
    <row r="177" ht="21.75" customHeight="1">
      <c r="A177" s="98" t="s">
        <v>428</v>
      </c>
      <c r="B177" s="78" t="s">
        <v>427</v>
      </c>
      <c r="C177" s="51" t="s">
        <v>151</v>
      </c>
      <c r="D177" s="51" t="s">
        <v>417</v>
      </c>
      <c r="E177" s="51"/>
      <c r="F177" s="51"/>
      <c r="G177" s="51" t="s">
        <v>75</v>
      </c>
      <c r="H177" s="51" t="s">
        <v>153</v>
      </c>
      <c r="I177" s="99" t="s">
        <v>81</v>
      </c>
      <c r="J177" s="53">
        <v>675.0</v>
      </c>
      <c r="K177" s="95">
        <v>639.0</v>
      </c>
      <c r="L177" s="100">
        <f t="shared" si="9"/>
        <v>0.05333333333</v>
      </c>
      <c r="M177" s="101"/>
    </row>
    <row r="178" ht="21.75" customHeight="1">
      <c r="A178" s="93" t="s">
        <v>429</v>
      </c>
      <c r="B178" s="74" t="s">
        <v>430</v>
      </c>
      <c r="C178" s="57" t="s">
        <v>401</v>
      </c>
      <c r="D178" s="57" t="s">
        <v>417</v>
      </c>
      <c r="E178" s="57"/>
      <c r="F178" s="57"/>
      <c r="G178" s="57" t="s">
        <v>75</v>
      </c>
      <c r="H178" s="57" t="s">
        <v>153</v>
      </c>
      <c r="I178" s="99" t="s">
        <v>81</v>
      </c>
      <c r="J178" s="59">
        <v>321.0</v>
      </c>
      <c r="K178" s="95">
        <v>321.0</v>
      </c>
      <c r="L178" s="96">
        <f t="shared" si="9"/>
        <v>0</v>
      </c>
      <c r="M178" s="97"/>
    </row>
    <row r="179" ht="21.75" customHeight="1">
      <c r="A179" s="98" t="s">
        <v>431</v>
      </c>
      <c r="B179" s="78" t="s">
        <v>432</v>
      </c>
      <c r="C179" s="51" t="s">
        <v>228</v>
      </c>
      <c r="D179" s="51" t="s">
        <v>417</v>
      </c>
      <c r="E179" s="51"/>
      <c r="F179" s="51"/>
      <c r="G179" s="51" t="s">
        <v>75</v>
      </c>
      <c r="H179" s="51" t="s">
        <v>153</v>
      </c>
      <c r="I179" s="99" t="s">
        <v>81</v>
      </c>
      <c r="J179" s="53">
        <v>535.0</v>
      </c>
      <c r="K179" s="95">
        <v>700.0</v>
      </c>
      <c r="L179" s="100">
        <f t="shared" si="9"/>
        <v>-0.308411215</v>
      </c>
      <c r="M179" s="101"/>
    </row>
    <row r="180" ht="21.75" customHeight="1">
      <c r="A180" s="93" t="s">
        <v>433</v>
      </c>
      <c r="B180" s="74" t="s">
        <v>432</v>
      </c>
      <c r="C180" s="57" t="s">
        <v>228</v>
      </c>
      <c r="D180" s="57" t="s">
        <v>417</v>
      </c>
      <c r="E180" s="57"/>
      <c r="F180" s="57"/>
      <c r="G180" s="57" t="s">
        <v>75</v>
      </c>
      <c r="H180" s="57" t="s">
        <v>153</v>
      </c>
      <c r="I180" s="99" t="s">
        <v>81</v>
      </c>
      <c r="J180" s="59">
        <v>535.0</v>
      </c>
      <c r="K180" s="95">
        <v>700.0</v>
      </c>
      <c r="L180" s="96">
        <f t="shared" si="9"/>
        <v>-0.308411215</v>
      </c>
      <c r="M180" s="97"/>
    </row>
    <row r="181" ht="21.75" customHeight="1">
      <c r="A181" s="98" t="s">
        <v>434</v>
      </c>
      <c r="B181" s="78" t="s">
        <v>432</v>
      </c>
      <c r="C181" s="51" t="s">
        <v>228</v>
      </c>
      <c r="D181" s="51" t="s">
        <v>417</v>
      </c>
      <c r="E181" s="51"/>
      <c r="F181" s="51"/>
      <c r="G181" s="51" t="s">
        <v>75</v>
      </c>
      <c r="H181" s="51" t="s">
        <v>153</v>
      </c>
      <c r="I181" s="99" t="s">
        <v>81</v>
      </c>
      <c r="J181" s="53">
        <v>535.0</v>
      </c>
      <c r="K181" s="95">
        <v>700.0</v>
      </c>
      <c r="L181" s="100">
        <f t="shared" si="9"/>
        <v>-0.308411215</v>
      </c>
      <c r="M181" s="101"/>
    </row>
    <row r="182" ht="21.75" customHeight="1">
      <c r="A182" s="93" t="s">
        <v>435</v>
      </c>
      <c r="B182" s="74" t="s">
        <v>432</v>
      </c>
      <c r="C182" s="57" t="s">
        <v>228</v>
      </c>
      <c r="D182" s="57" t="s">
        <v>417</v>
      </c>
      <c r="E182" s="57"/>
      <c r="F182" s="57"/>
      <c r="G182" s="57" t="s">
        <v>75</v>
      </c>
      <c r="H182" s="57" t="s">
        <v>153</v>
      </c>
      <c r="I182" s="99" t="s">
        <v>81</v>
      </c>
      <c r="J182" s="59">
        <v>535.0</v>
      </c>
      <c r="K182" s="95">
        <v>700.0</v>
      </c>
      <c r="L182" s="96">
        <f t="shared" si="9"/>
        <v>-0.308411215</v>
      </c>
      <c r="M182" s="97"/>
    </row>
    <row r="183" ht="21.75" customHeight="1">
      <c r="A183" s="98" t="s">
        <v>436</v>
      </c>
      <c r="B183" s="78" t="s">
        <v>432</v>
      </c>
      <c r="C183" s="51" t="s">
        <v>228</v>
      </c>
      <c r="D183" s="51" t="s">
        <v>417</v>
      </c>
      <c r="E183" s="51"/>
      <c r="F183" s="51"/>
      <c r="G183" s="51" t="s">
        <v>75</v>
      </c>
      <c r="H183" s="51" t="s">
        <v>153</v>
      </c>
      <c r="I183" s="99" t="s">
        <v>81</v>
      </c>
      <c r="J183" s="53">
        <v>535.0</v>
      </c>
      <c r="K183" s="95">
        <v>700.0</v>
      </c>
      <c r="L183" s="100">
        <f t="shared" si="9"/>
        <v>-0.308411215</v>
      </c>
      <c r="M183" s="101"/>
    </row>
    <row r="184" ht="21.75" customHeight="1">
      <c r="A184" s="93" t="s">
        <v>437</v>
      </c>
      <c r="B184" s="74" t="s">
        <v>438</v>
      </c>
      <c r="C184" s="57"/>
      <c r="D184" s="57" t="s">
        <v>417</v>
      </c>
      <c r="E184" s="57" t="s">
        <v>439</v>
      </c>
      <c r="F184" s="57"/>
      <c r="G184" s="57" t="s">
        <v>75</v>
      </c>
      <c r="H184" s="57" t="s">
        <v>153</v>
      </c>
      <c r="I184" s="99" t="s">
        <v>81</v>
      </c>
      <c r="J184" s="59">
        <v>675.0</v>
      </c>
      <c r="K184" s="95">
        <v>315.0</v>
      </c>
      <c r="L184" s="96">
        <f t="shared" si="9"/>
        <v>0.5333333333</v>
      </c>
      <c r="M184" s="97"/>
    </row>
    <row r="185" ht="21.75" customHeight="1">
      <c r="A185" s="98" t="s">
        <v>440</v>
      </c>
      <c r="B185" s="78" t="s">
        <v>441</v>
      </c>
      <c r="C185" s="51"/>
      <c r="D185" s="51" t="s">
        <v>417</v>
      </c>
      <c r="E185" s="51" t="s">
        <v>442</v>
      </c>
      <c r="F185" s="51"/>
      <c r="G185" s="51" t="s">
        <v>75</v>
      </c>
      <c r="H185" s="51" t="s">
        <v>153</v>
      </c>
      <c r="I185" s="99" t="s">
        <v>81</v>
      </c>
      <c r="J185" s="53">
        <v>675.0</v>
      </c>
      <c r="K185" s="95">
        <v>315.0</v>
      </c>
      <c r="L185" s="100">
        <f t="shared" si="9"/>
        <v>0.5333333333</v>
      </c>
      <c r="M185" s="101"/>
    </row>
    <row r="186" ht="21.75" customHeight="1">
      <c r="A186" s="93" t="s">
        <v>443</v>
      </c>
      <c r="B186" s="74" t="s">
        <v>441</v>
      </c>
      <c r="C186" s="57"/>
      <c r="D186" s="57" t="s">
        <v>417</v>
      </c>
      <c r="E186" s="57" t="s">
        <v>444</v>
      </c>
      <c r="F186" s="57"/>
      <c r="G186" s="57" t="s">
        <v>75</v>
      </c>
      <c r="H186" s="57" t="s">
        <v>153</v>
      </c>
      <c r="I186" s="99" t="s">
        <v>81</v>
      </c>
      <c r="J186" s="59">
        <v>675.0</v>
      </c>
      <c r="K186" s="95">
        <v>315.0</v>
      </c>
      <c r="L186" s="96">
        <f t="shared" si="9"/>
        <v>0.5333333333</v>
      </c>
      <c r="M186" s="97"/>
    </row>
    <row r="187" ht="21.75" customHeight="1">
      <c r="A187" s="98" t="s">
        <v>445</v>
      </c>
      <c r="B187" s="78" t="s">
        <v>416</v>
      </c>
      <c r="C187" s="51"/>
      <c r="D187" s="51" t="s">
        <v>417</v>
      </c>
      <c r="E187" s="51" t="s">
        <v>446</v>
      </c>
      <c r="F187" s="51"/>
      <c r="G187" s="51" t="s">
        <v>75</v>
      </c>
      <c r="H187" s="51" t="s">
        <v>153</v>
      </c>
      <c r="I187" s="99" t="s">
        <v>81</v>
      </c>
      <c r="J187" s="53">
        <v>675.0</v>
      </c>
      <c r="K187" s="95">
        <v>315.0</v>
      </c>
      <c r="L187" s="100">
        <f t="shared" si="9"/>
        <v>0.5333333333</v>
      </c>
      <c r="M187" s="101"/>
    </row>
    <row r="188" ht="21.75" customHeight="1">
      <c r="A188" s="93" t="s">
        <v>447</v>
      </c>
      <c r="B188" s="74" t="s">
        <v>448</v>
      </c>
      <c r="C188" s="57"/>
      <c r="D188" s="57" t="s">
        <v>417</v>
      </c>
      <c r="E188" s="57" t="s">
        <v>449</v>
      </c>
      <c r="F188" s="57"/>
      <c r="G188" s="57" t="s">
        <v>75</v>
      </c>
      <c r="H188" s="57" t="s">
        <v>153</v>
      </c>
      <c r="I188" s="99" t="s">
        <v>81</v>
      </c>
      <c r="J188" s="59">
        <v>675.0</v>
      </c>
      <c r="K188" s="95">
        <v>315.0</v>
      </c>
      <c r="L188" s="96">
        <f t="shared" si="9"/>
        <v>0.5333333333</v>
      </c>
      <c r="M188" s="97"/>
    </row>
    <row r="189" ht="21.75" customHeight="1">
      <c r="A189" s="98" t="s">
        <v>450</v>
      </c>
      <c r="B189" s="78" t="s">
        <v>451</v>
      </c>
      <c r="C189" s="51"/>
      <c r="D189" s="51" t="s">
        <v>417</v>
      </c>
      <c r="E189" s="51"/>
      <c r="F189" s="51"/>
      <c r="G189" s="51" t="s">
        <v>75</v>
      </c>
      <c r="H189" s="51" t="s">
        <v>153</v>
      </c>
      <c r="I189" s="99" t="s">
        <v>81</v>
      </c>
      <c r="J189" s="53">
        <v>675.0</v>
      </c>
      <c r="K189" s="95">
        <v>315.0</v>
      </c>
      <c r="L189" s="100">
        <f t="shared" si="9"/>
        <v>0.5333333333</v>
      </c>
      <c r="M189" s="101"/>
    </row>
    <row r="190" ht="21.75" customHeight="1">
      <c r="A190" s="93" t="s">
        <v>452</v>
      </c>
      <c r="B190" s="74" t="s">
        <v>451</v>
      </c>
      <c r="C190" s="57"/>
      <c r="D190" s="57" t="s">
        <v>417</v>
      </c>
      <c r="E190" s="57"/>
      <c r="F190" s="57"/>
      <c r="G190" s="57" t="s">
        <v>75</v>
      </c>
      <c r="H190" s="57" t="s">
        <v>153</v>
      </c>
      <c r="I190" s="99" t="s">
        <v>81</v>
      </c>
      <c r="J190" s="59">
        <v>675.0</v>
      </c>
      <c r="K190" s="95">
        <v>315.0</v>
      </c>
      <c r="L190" s="96">
        <f t="shared" si="9"/>
        <v>0.5333333333</v>
      </c>
      <c r="M190" s="97"/>
    </row>
    <row r="191" ht="21.75" customHeight="1">
      <c r="A191" s="98" t="s">
        <v>453</v>
      </c>
      <c r="B191" s="78" t="s">
        <v>454</v>
      </c>
      <c r="C191" s="51"/>
      <c r="D191" s="51" t="s">
        <v>417</v>
      </c>
      <c r="E191" s="51" t="s">
        <v>455</v>
      </c>
      <c r="F191" s="51"/>
      <c r="G191" s="51" t="s">
        <v>75</v>
      </c>
      <c r="H191" s="51" t="s">
        <v>153</v>
      </c>
      <c r="I191" s="99" t="s">
        <v>81</v>
      </c>
      <c r="J191" s="53">
        <v>675.0</v>
      </c>
      <c r="K191" s="95">
        <v>315.0</v>
      </c>
      <c r="L191" s="100">
        <f t="shared" si="9"/>
        <v>0.5333333333</v>
      </c>
      <c r="M191" s="101"/>
    </row>
    <row r="192" ht="21.75" customHeight="1">
      <c r="A192" s="93" t="s">
        <v>456</v>
      </c>
      <c r="B192" s="74" t="s">
        <v>454</v>
      </c>
      <c r="C192" s="57"/>
      <c r="D192" s="57" t="s">
        <v>417</v>
      </c>
      <c r="E192" s="57"/>
      <c r="F192" s="57"/>
      <c r="G192" s="57" t="s">
        <v>75</v>
      </c>
      <c r="H192" s="57" t="s">
        <v>153</v>
      </c>
      <c r="I192" s="99" t="s">
        <v>81</v>
      </c>
      <c r="J192" s="59">
        <v>675.0</v>
      </c>
      <c r="K192" s="95">
        <v>315.0</v>
      </c>
      <c r="L192" s="96">
        <f t="shared" si="9"/>
        <v>0.5333333333</v>
      </c>
      <c r="M192" s="97"/>
    </row>
    <row r="193" ht="21.75" customHeight="1">
      <c r="A193" s="98" t="s">
        <v>457</v>
      </c>
      <c r="B193" s="78" t="s">
        <v>430</v>
      </c>
      <c r="C193" s="51" t="s">
        <v>401</v>
      </c>
      <c r="D193" s="51" t="s">
        <v>417</v>
      </c>
      <c r="E193" s="51"/>
      <c r="F193" s="51"/>
      <c r="G193" s="51" t="s">
        <v>75</v>
      </c>
      <c r="H193" s="51" t="s">
        <v>153</v>
      </c>
      <c r="I193" s="99" t="s">
        <v>81</v>
      </c>
      <c r="J193" s="53">
        <v>321.0</v>
      </c>
      <c r="K193" s="95">
        <v>321.0</v>
      </c>
      <c r="L193" s="100">
        <f t="shared" si="9"/>
        <v>0</v>
      </c>
      <c r="M193" s="101"/>
    </row>
    <row r="194" ht="21.75" customHeight="1">
      <c r="A194" s="93" t="s">
        <v>458</v>
      </c>
      <c r="B194" s="74" t="s">
        <v>423</v>
      </c>
      <c r="C194" s="57" t="s">
        <v>401</v>
      </c>
      <c r="D194" s="57" t="s">
        <v>417</v>
      </c>
      <c r="E194" s="57"/>
      <c r="F194" s="57"/>
      <c r="G194" s="57" t="s">
        <v>75</v>
      </c>
      <c r="H194" s="57" t="s">
        <v>153</v>
      </c>
      <c r="I194" s="99" t="s">
        <v>81</v>
      </c>
      <c r="J194" s="59">
        <v>936.0</v>
      </c>
      <c r="K194" s="95">
        <v>936.0</v>
      </c>
      <c r="L194" s="96">
        <f t="shared" si="9"/>
        <v>0</v>
      </c>
      <c r="M194" s="97"/>
    </row>
    <row r="195" ht="21.75" customHeight="1">
      <c r="A195" s="98" t="s">
        <v>459</v>
      </c>
      <c r="B195" s="78" t="s">
        <v>423</v>
      </c>
      <c r="C195" s="51" t="s">
        <v>401</v>
      </c>
      <c r="D195" s="51" t="s">
        <v>417</v>
      </c>
      <c r="E195" s="51"/>
      <c r="F195" s="51"/>
      <c r="G195" s="51" t="s">
        <v>75</v>
      </c>
      <c r="H195" s="51" t="s">
        <v>153</v>
      </c>
      <c r="I195" s="99" t="s">
        <v>81</v>
      </c>
      <c r="J195" s="53">
        <v>936.0</v>
      </c>
      <c r="K195" s="95">
        <v>936.0</v>
      </c>
      <c r="L195" s="100">
        <f t="shared" si="9"/>
        <v>0</v>
      </c>
      <c r="M195" s="101"/>
    </row>
    <row r="196" ht="24.0" customHeight="1">
      <c r="A196" s="92" t="s">
        <v>460</v>
      </c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5"/>
    </row>
    <row r="197" ht="21.75" customHeight="1">
      <c r="A197" s="93" t="s">
        <v>461</v>
      </c>
      <c r="B197" s="74" t="s">
        <v>462</v>
      </c>
      <c r="C197" s="57" t="s">
        <v>228</v>
      </c>
      <c r="D197" s="57" t="s">
        <v>463</v>
      </c>
      <c r="E197" s="57"/>
      <c r="F197" s="57"/>
      <c r="G197" s="57" t="s">
        <v>75</v>
      </c>
      <c r="H197" s="57" t="s">
        <v>153</v>
      </c>
      <c r="I197" s="99" t="s">
        <v>81</v>
      </c>
      <c r="J197" s="59">
        <v>640.0</v>
      </c>
      <c r="K197" s="95">
        <v>640.0</v>
      </c>
      <c r="L197" s="96">
        <f t="shared" ref="L197:L272" si="10">IF(J197&gt;0,(J197-K197)/J197,"")</f>
        <v>0</v>
      </c>
      <c r="M197" s="97"/>
    </row>
    <row r="198" ht="21.75" customHeight="1">
      <c r="A198" s="98" t="s">
        <v>464</v>
      </c>
      <c r="B198" s="78" t="s">
        <v>462</v>
      </c>
      <c r="C198" s="51" t="s">
        <v>228</v>
      </c>
      <c r="D198" s="51" t="s">
        <v>463</v>
      </c>
      <c r="E198" s="51"/>
      <c r="F198" s="51"/>
      <c r="G198" s="51" t="s">
        <v>75</v>
      </c>
      <c r="H198" s="51" t="s">
        <v>153</v>
      </c>
      <c r="I198" s="99" t="s">
        <v>81</v>
      </c>
      <c r="J198" s="53">
        <v>640.0</v>
      </c>
      <c r="K198" s="95">
        <v>640.0</v>
      </c>
      <c r="L198" s="100">
        <f t="shared" si="10"/>
        <v>0</v>
      </c>
      <c r="M198" s="101"/>
    </row>
    <row r="199" ht="21.75" customHeight="1">
      <c r="A199" s="93" t="s">
        <v>465</v>
      </c>
      <c r="B199" s="74" t="s">
        <v>466</v>
      </c>
      <c r="C199" s="57" t="s">
        <v>467</v>
      </c>
      <c r="D199" s="57" t="s">
        <v>463</v>
      </c>
      <c r="E199" s="57"/>
      <c r="F199" s="57"/>
      <c r="G199" s="57" t="s">
        <v>75</v>
      </c>
      <c r="H199" s="57" t="s">
        <v>153</v>
      </c>
      <c r="I199" s="99" t="s">
        <v>81</v>
      </c>
      <c r="J199" s="59">
        <v>450.0</v>
      </c>
      <c r="K199" s="95">
        <v>450.0</v>
      </c>
      <c r="L199" s="96">
        <f t="shared" si="10"/>
        <v>0</v>
      </c>
      <c r="M199" s="97"/>
    </row>
    <row r="200" ht="21.75" customHeight="1">
      <c r="A200" s="98" t="s">
        <v>468</v>
      </c>
      <c r="B200" s="78" t="s">
        <v>469</v>
      </c>
      <c r="C200" s="51"/>
      <c r="D200" s="51" t="s">
        <v>463</v>
      </c>
      <c r="E200" s="51" t="s">
        <v>470</v>
      </c>
      <c r="F200" s="51"/>
      <c r="G200" s="51" t="s">
        <v>75</v>
      </c>
      <c r="H200" s="51" t="s">
        <v>153</v>
      </c>
      <c r="I200" s="99" t="s">
        <v>81</v>
      </c>
      <c r="J200" s="53">
        <v>1350.0</v>
      </c>
      <c r="K200" s="95">
        <v>1290.0</v>
      </c>
      <c r="L200" s="100">
        <f t="shared" si="10"/>
        <v>0.04444444444</v>
      </c>
      <c r="M200" s="101"/>
    </row>
    <row r="201" ht="21.75" customHeight="1">
      <c r="A201" s="93" t="s">
        <v>471</v>
      </c>
      <c r="B201" s="74" t="s">
        <v>472</v>
      </c>
      <c r="C201" s="57" t="s">
        <v>398</v>
      </c>
      <c r="D201" s="57" t="s">
        <v>463</v>
      </c>
      <c r="E201" s="57"/>
      <c r="F201" s="57"/>
      <c r="G201" s="57" t="s">
        <v>75</v>
      </c>
      <c r="H201" s="57" t="s">
        <v>153</v>
      </c>
      <c r="I201" s="99" t="s">
        <v>81</v>
      </c>
      <c r="J201" s="59">
        <v>640.0</v>
      </c>
      <c r="K201" s="95">
        <v>640.0</v>
      </c>
      <c r="L201" s="96">
        <f t="shared" si="10"/>
        <v>0</v>
      </c>
      <c r="M201" s="97"/>
    </row>
    <row r="202" ht="21.75" customHeight="1">
      <c r="A202" s="98" t="s">
        <v>473</v>
      </c>
      <c r="B202" s="78" t="s">
        <v>466</v>
      </c>
      <c r="C202" s="51" t="s">
        <v>467</v>
      </c>
      <c r="D202" s="51" t="s">
        <v>463</v>
      </c>
      <c r="E202" s="51"/>
      <c r="F202" s="51"/>
      <c r="G202" s="51" t="s">
        <v>75</v>
      </c>
      <c r="H202" s="51" t="s">
        <v>153</v>
      </c>
      <c r="I202" s="99" t="s">
        <v>81</v>
      </c>
      <c r="J202" s="53">
        <v>450.0</v>
      </c>
      <c r="K202" s="95">
        <v>450.0</v>
      </c>
      <c r="L202" s="100">
        <f t="shared" si="10"/>
        <v>0</v>
      </c>
      <c r="M202" s="101"/>
    </row>
    <row r="203" ht="21.75" customHeight="1">
      <c r="A203" s="93" t="s">
        <v>474</v>
      </c>
      <c r="B203" s="74" t="s">
        <v>472</v>
      </c>
      <c r="C203" s="57" t="s">
        <v>398</v>
      </c>
      <c r="D203" s="57" t="s">
        <v>463</v>
      </c>
      <c r="E203" s="57"/>
      <c r="F203" s="57"/>
      <c r="G203" s="57" t="s">
        <v>75</v>
      </c>
      <c r="H203" s="57" t="s">
        <v>153</v>
      </c>
      <c r="I203" s="99" t="s">
        <v>81</v>
      </c>
      <c r="J203" s="59">
        <v>640.0</v>
      </c>
      <c r="K203" s="95">
        <v>640.0</v>
      </c>
      <c r="L203" s="96">
        <f t="shared" si="10"/>
        <v>0</v>
      </c>
      <c r="M203" s="97"/>
    </row>
    <row r="204" ht="21.75" customHeight="1">
      <c r="A204" s="98" t="s">
        <v>475</v>
      </c>
      <c r="B204" s="78" t="s">
        <v>476</v>
      </c>
      <c r="C204" s="51" t="s">
        <v>398</v>
      </c>
      <c r="D204" s="51" t="s">
        <v>463</v>
      </c>
      <c r="E204" s="51"/>
      <c r="F204" s="51"/>
      <c r="G204" s="51" t="s">
        <v>75</v>
      </c>
      <c r="H204" s="51" t="s">
        <v>153</v>
      </c>
      <c r="I204" s="99" t="s">
        <v>81</v>
      </c>
      <c r="J204" s="53">
        <v>640.0</v>
      </c>
      <c r="K204" s="95">
        <v>640.0</v>
      </c>
      <c r="L204" s="100">
        <f t="shared" si="10"/>
        <v>0</v>
      </c>
      <c r="M204" s="101"/>
    </row>
    <row r="205" ht="21.75" customHeight="1">
      <c r="A205" s="93" t="s">
        <v>477</v>
      </c>
      <c r="B205" s="74" t="s">
        <v>466</v>
      </c>
      <c r="C205" s="57" t="s">
        <v>467</v>
      </c>
      <c r="D205" s="57" t="s">
        <v>463</v>
      </c>
      <c r="E205" s="57"/>
      <c r="F205" s="57"/>
      <c r="G205" s="57" t="s">
        <v>75</v>
      </c>
      <c r="H205" s="57" t="s">
        <v>153</v>
      </c>
      <c r="I205" s="99" t="s">
        <v>81</v>
      </c>
      <c r="J205" s="59">
        <v>450.0</v>
      </c>
      <c r="K205" s="95">
        <v>450.0</v>
      </c>
      <c r="L205" s="96">
        <f t="shared" si="10"/>
        <v>0</v>
      </c>
      <c r="M205" s="97"/>
    </row>
    <row r="206" ht="21.75" customHeight="1">
      <c r="A206" s="98" t="s">
        <v>478</v>
      </c>
      <c r="B206" s="78" t="s">
        <v>469</v>
      </c>
      <c r="C206" s="51"/>
      <c r="D206" s="51" t="s">
        <v>463</v>
      </c>
      <c r="E206" s="51" t="s">
        <v>479</v>
      </c>
      <c r="F206" s="51"/>
      <c r="G206" s="51" t="s">
        <v>75</v>
      </c>
      <c r="H206" s="51" t="s">
        <v>153</v>
      </c>
      <c r="I206" s="99" t="s">
        <v>81</v>
      </c>
      <c r="J206" s="53">
        <v>1350.0</v>
      </c>
      <c r="K206" s="95">
        <v>1290.0</v>
      </c>
      <c r="L206" s="100">
        <f t="shared" si="10"/>
        <v>0.04444444444</v>
      </c>
      <c r="M206" s="101"/>
    </row>
    <row r="207" ht="21.75" customHeight="1">
      <c r="A207" s="93" t="s">
        <v>480</v>
      </c>
      <c r="B207" s="74" t="s">
        <v>466</v>
      </c>
      <c r="C207" s="57" t="s">
        <v>467</v>
      </c>
      <c r="D207" s="57" t="s">
        <v>463</v>
      </c>
      <c r="E207" s="57"/>
      <c r="F207" s="57"/>
      <c r="G207" s="57" t="s">
        <v>75</v>
      </c>
      <c r="H207" s="57" t="s">
        <v>153</v>
      </c>
      <c r="I207" s="99" t="s">
        <v>81</v>
      </c>
      <c r="J207" s="59">
        <v>450.0</v>
      </c>
      <c r="K207" s="95">
        <v>450.0</v>
      </c>
      <c r="L207" s="96">
        <f t="shared" si="10"/>
        <v>0</v>
      </c>
      <c r="M207" s="97"/>
    </row>
    <row r="208" ht="21.75" customHeight="1">
      <c r="A208" s="98" t="s">
        <v>481</v>
      </c>
      <c r="B208" s="78" t="s">
        <v>469</v>
      </c>
      <c r="C208" s="51"/>
      <c r="D208" s="51" t="s">
        <v>463</v>
      </c>
      <c r="E208" s="51" t="s">
        <v>482</v>
      </c>
      <c r="F208" s="51"/>
      <c r="G208" s="51" t="s">
        <v>75</v>
      </c>
      <c r="H208" s="51" t="s">
        <v>153</v>
      </c>
      <c r="I208" s="99" t="s">
        <v>81</v>
      </c>
      <c r="J208" s="53">
        <v>1350.0</v>
      </c>
      <c r="K208" s="95">
        <v>1290.0</v>
      </c>
      <c r="L208" s="100">
        <f t="shared" si="10"/>
        <v>0.04444444444</v>
      </c>
      <c r="M208" s="101"/>
    </row>
    <row r="209" ht="21.75" customHeight="1">
      <c r="A209" s="93" t="s">
        <v>483</v>
      </c>
      <c r="B209" s="74" t="s">
        <v>466</v>
      </c>
      <c r="C209" s="57" t="s">
        <v>467</v>
      </c>
      <c r="D209" s="57" t="s">
        <v>463</v>
      </c>
      <c r="E209" s="57"/>
      <c r="F209" s="57"/>
      <c r="G209" s="57" t="s">
        <v>75</v>
      </c>
      <c r="H209" s="57" t="s">
        <v>153</v>
      </c>
      <c r="I209" s="99" t="s">
        <v>81</v>
      </c>
      <c r="J209" s="59">
        <v>450.0</v>
      </c>
      <c r="K209" s="95">
        <v>450.0</v>
      </c>
      <c r="L209" s="96">
        <f t="shared" si="10"/>
        <v>0</v>
      </c>
      <c r="M209" s="97"/>
    </row>
    <row r="210" ht="21.75" customHeight="1">
      <c r="A210" s="98" t="s">
        <v>484</v>
      </c>
      <c r="B210" s="78" t="s">
        <v>485</v>
      </c>
      <c r="C210" s="51"/>
      <c r="D210" s="51" t="s">
        <v>463</v>
      </c>
      <c r="E210" s="51"/>
      <c r="F210" s="51"/>
      <c r="G210" s="51" t="s">
        <v>75</v>
      </c>
      <c r="H210" s="51" t="s">
        <v>153</v>
      </c>
      <c r="I210" s="99" t="s">
        <v>81</v>
      </c>
      <c r="J210" s="53">
        <v>1350.0</v>
      </c>
      <c r="K210" s="95">
        <v>1290.0</v>
      </c>
      <c r="L210" s="100">
        <f t="shared" si="10"/>
        <v>0.04444444444</v>
      </c>
      <c r="M210" s="101"/>
    </row>
    <row r="211" ht="21.75" customHeight="1">
      <c r="A211" s="93" t="s">
        <v>486</v>
      </c>
      <c r="B211" s="74" t="s">
        <v>485</v>
      </c>
      <c r="C211" s="57"/>
      <c r="D211" s="57" t="s">
        <v>463</v>
      </c>
      <c r="E211" s="57"/>
      <c r="F211" s="57"/>
      <c r="G211" s="57" t="s">
        <v>75</v>
      </c>
      <c r="H211" s="57" t="s">
        <v>153</v>
      </c>
      <c r="I211" s="99" t="s">
        <v>81</v>
      </c>
      <c r="J211" s="59">
        <v>1350.0</v>
      </c>
      <c r="K211" s="95">
        <v>1290.0</v>
      </c>
      <c r="L211" s="96">
        <f t="shared" si="10"/>
        <v>0.04444444444</v>
      </c>
      <c r="M211" s="97"/>
    </row>
    <row r="212" ht="21.75" customHeight="1">
      <c r="A212" s="98" t="s">
        <v>487</v>
      </c>
      <c r="B212" s="78" t="s">
        <v>485</v>
      </c>
      <c r="C212" s="51"/>
      <c r="D212" s="51" t="s">
        <v>463</v>
      </c>
      <c r="E212" s="51"/>
      <c r="F212" s="51"/>
      <c r="G212" s="51" t="s">
        <v>75</v>
      </c>
      <c r="H212" s="51" t="s">
        <v>153</v>
      </c>
      <c r="I212" s="99" t="s">
        <v>81</v>
      </c>
      <c r="J212" s="53">
        <v>1350.0</v>
      </c>
      <c r="K212" s="95">
        <v>1290.0</v>
      </c>
      <c r="L212" s="100">
        <f t="shared" si="10"/>
        <v>0.04444444444</v>
      </c>
      <c r="M212" s="101"/>
    </row>
    <row r="213" ht="21.75" customHeight="1">
      <c r="A213" s="93" t="s">
        <v>488</v>
      </c>
      <c r="B213" s="74" t="s">
        <v>489</v>
      </c>
      <c r="C213" s="57" t="s">
        <v>228</v>
      </c>
      <c r="D213" s="57" t="s">
        <v>463</v>
      </c>
      <c r="E213" s="57"/>
      <c r="F213" s="57"/>
      <c r="G213" s="57" t="s">
        <v>75</v>
      </c>
      <c r="H213" s="57" t="s">
        <v>153</v>
      </c>
      <c r="I213" s="99" t="s">
        <v>81</v>
      </c>
      <c r="J213" s="59">
        <v>640.0</v>
      </c>
      <c r="K213" s="95">
        <v>640.0</v>
      </c>
      <c r="L213" s="96">
        <f t="shared" si="10"/>
        <v>0</v>
      </c>
      <c r="M213" s="97"/>
    </row>
    <row r="214" ht="21.75" customHeight="1">
      <c r="A214" s="98" t="s">
        <v>490</v>
      </c>
      <c r="B214" s="78" t="s">
        <v>491</v>
      </c>
      <c r="C214" s="51"/>
      <c r="D214" s="51" t="s">
        <v>463</v>
      </c>
      <c r="E214" s="51"/>
      <c r="F214" s="51"/>
      <c r="G214" s="51" t="s">
        <v>75</v>
      </c>
      <c r="H214" s="51" t="s">
        <v>153</v>
      </c>
      <c r="I214" s="99" t="s">
        <v>81</v>
      </c>
      <c r="J214" s="53">
        <v>1350.0</v>
      </c>
      <c r="K214" s="95">
        <v>1290.0</v>
      </c>
      <c r="L214" s="100">
        <f t="shared" si="10"/>
        <v>0.04444444444</v>
      </c>
      <c r="M214" s="101"/>
    </row>
    <row r="215" ht="21.75" customHeight="1">
      <c r="A215" s="93" t="s">
        <v>492</v>
      </c>
      <c r="B215" s="74" t="s">
        <v>493</v>
      </c>
      <c r="C215" s="57" t="s">
        <v>228</v>
      </c>
      <c r="D215" s="57" t="s">
        <v>463</v>
      </c>
      <c r="E215" s="57"/>
      <c r="F215" s="57"/>
      <c r="G215" s="57" t="s">
        <v>75</v>
      </c>
      <c r="H215" s="57" t="s">
        <v>153</v>
      </c>
      <c r="I215" s="99" t="s">
        <v>81</v>
      </c>
      <c r="J215" s="59">
        <v>640.0</v>
      </c>
      <c r="K215" s="95">
        <v>640.0</v>
      </c>
      <c r="L215" s="96">
        <f t="shared" si="10"/>
        <v>0</v>
      </c>
      <c r="M215" s="97"/>
    </row>
    <row r="216" ht="21.75" customHeight="1">
      <c r="A216" s="98" t="s">
        <v>494</v>
      </c>
      <c r="B216" s="78" t="s">
        <v>495</v>
      </c>
      <c r="C216" s="51" t="s">
        <v>151</v>
      </c>
      <c r="D216" s="51" t="s">
        <v>463</v>
      </c>
      <c r="E216" s="51" t="s">
        <v>496</v>
      </c>
      <c r="F216" s="51"/>
      <c r="G216" s="51" t="s">
        <v>75</v>
      </c>
      <c r="H216" s="51" t="s">
        <v>153</v>
      </c>
      <c r="I216" s="99" t="s">
        <v>81</v>
      </c>
      <c r="J216" s="53">
        <v>640.0</v>
      </c>
      <c r="K216" s="95">
        <v>129.99</v>
      </c>
      <c r="L216" s="100">
        <f t="shared" si="10"/>
        <v>0.796890625</v>
      </c>
      <c r="M216" s="101"/>
    </row>
    <row r="217" ht="21.75" customHeight="1">
      <c r="A217" s="93" t="s">
        <v>497</v>
      </c>
      <c r="B217" s="74" t="s">
        <v>498</v>
      </c>
      <c r="C217" s="57" t="s">
        <v>499</v>
      </c>
      <c r="D217" s="57" t="s">
        <v>463</v>
      </c>
      <c r="E217" s="57"/>
      <c r="F217" s="57"/>
      <c r="G217" s="57" t="s">
        <v>75</v>
      </c>
      <c r="H217" s="57" t="s">
        <v>153</v>
      </c>
      <c r="I217" s="99" t="s">
        <v>81</v>
      </c>
      <c r="J217" s="59">
        <v>192.14</v>
      </c>
      <c r="K217" s="95">
        <v>192.14</v>
      </c>
      <c r="L217" s="96">
        <f t="shared" si="10"/>
        <v>0</v>
      </c>
      <c r="M217" s="97"/>
    </row>
    <row r="218" ht="21.75" customHeight="1">
      <c r="A218" s="98" t="s">
        <v>500</v>
      </c>
      <c r="B218" s="78" t="s">
        <v>498</v>
      </c>
      <c r="C218" s="51" t="s">
        <v>499</v>
      </c>
      <c r="D218" s="51" t="s">
        <v>463</v>
      </c>
      <c r="E218" s="51"/>
      <c r="F218" s="51"/>
      <c r="G218" s="51" t="s">
        <v>75</v>
      </c>
      <c r="H218" s="51" t="s">
        <v>153</v>
      </c>
      <c r="I218" s="99" t="s">
        <v>81</v>
      </c>
      <c r="J218" s="53">
        <v>192.14</v>
      </c>
      <c r="K218" s="95">
        <v>192.14</v>
      </c>
      <c r="L218" s="100">
        <f t="shared" si="10"/>
        <v>0</v>
      </c>
      <c r="M218" s="101"/>
    </row>
    <row r="219" ht="21.75" customHeight="1">
      <c r="A219" s="93" t="s">
        <v>501</v>
      </c>
      <c r="B219" s="74" t="s">
        <v>498</v>
      </c>
      <c r="C219" s="57" t="s">
        <v>499</v>
      </c>
      <c r="D219" s="57" t="s">
        <v>463</v>
      </c>
      <c r="E219" s="57"/>
      <c r="F219" s="57"/>
      <c r="G219" s="57" t="s">
        <v>75</v>
      </c>
      <c r="H219" s="57" t="s">
        <v>153</v>
      </c>
      <c r="I219" s="99" t="s">
        <v>81</v>
      </c>
      <c r="J219" s="59">
        <v>192.14</v>
      </c>
      <c r="K219" s="95">
        <v>192.14</v>
      </c>
      <c r="L219" s="96">
        <f t="shared" si="10"/>
        <v>0</v>
      </c>
      <c r="M219" s="97"/>
    </row>
    <row r="220" ht="21.75" customHeight="1">
      <c r="A220" s="98" t="s">
        <v>502</v>
      </c>
      <c r="B220" s="78" t="s">
        <v>503</v>
      </c>
      <c r="C220" s="51" t="s">
        <v>499</v>
      </c>
      <c r="D220" s="51" t="s">
        <v>463</v>
      </c>
      <c r="E220" s="51"/>
      <c r="F220" s="51"/>
      <c r="G220" s="51" t="s">
        <v>75</v>
      </c>
      <c r="H220" s="51" t="s">
        <v>153</v>
      </c>
      <c r="I220" s="99" t="s">
        <v>81</v>
      </c>
      <c r="J220" s="53">
        <v>192.14</v>
      </c>
      <c r="K220" s="95">
        <v>192.14</v>
      </c>
      <c r="L220" s="100">
        <f t="shared" si="10"/>
        <v>0</v>
      </c>
      <c r="M220" s="101"/>
    </row>
    <row r="221" ht="21.75" customHeight="1">
      <c r="A221" s="93" t="s">
        <v>504</v>
      </c>
      <c r="B221" s="74" t="s">
        <v>498</v>
      </c>
      <c r="C221" s="57" t="s">
        <v>499</v>
      </c>
      <c r="D221" s="57" t="s">
        <v>463</v>
      </c>
      <c r="E221" s="57"/>
      <c r="F221" s="57"/>
      <c r="G221" s="57" t="s">
        <v>75</v>
      </c>
      <c r="H221" s="57" t="s">
        <v>153</v>
      </c>
      <c r="I221" s="99" t="s">
        <v>81</v>
      </c>
      <c r="J221" s="59">
        <v>192.14</v>
      </c>
      <c r="K221" s="95">
        <v>192.14</v>
      </c>
      <c r="L221" s="96">
        <f t="shared" si="10"/>
        <v>0</v>
      </c>
      <c r="M221" s="97"/>
    </row>
    <row r="222" ht="21.75" customHeight="1">
      <c r="A222" s="98" t="s">
        <v>505</v>
      </c>
      <c r="B222" s="78" t="s">
        <v>498</v>
      </c>
      <c r="C222" s="51" t="s">
        <v>499</v>
      </c>
      <c r="D222" s="51" t="s">
        <v>463</v>
      </c>
      <c r="E222" s="51"/>
      <c r="F222" s="51"/>
      <c r="G222" s="51" t="s">
        <v>75</v>
      </c>
      <c r="H222" s="51" t="s">
        <v>153</v>
      </c>
      <c r="I222" s="99" t="s">
        <v>81</v>
      </c>
      <c r="J222" s="53">
        <v>192.14</v>
      </c>
      <c r="K222" s="95">
        <v>192.14</v>
      </c>
      <c r="L222" s="100">
        <f t="shared" si="10"/>
        <v>0</v>
      </c>
      <c r="M222" s="101"/>
    </row>
    <row r="223" ht="21.75" customHeight="1">
      <c r="A223" s="93" t="s">
        <v>506</v>
      </c>
      <c r="B223" s="74" t="s">
        <v>498</v>
      </c>
      <c r="C223" s="57" t="s">
        <v>499</v>
      </c>
      <c r="D223" s="57" t="s">
        <v>463</v>
      </c>
      <c r="E223" s="57"/>
      <c r="F223" s="57"/>
      <c r="G223" s="57" t="s">
        <v>75</v>
      </c>
      <c r="H223" s="57" t="s">
        <v>153</v>
      </c>
      <c r="I223" s="99" t="s">
        <v>81</v>
      </c>
      <c r="J223" s="59">
        <v>192.14</v>
      </c>
      <c r="K223" s="95">
        <v>192.14</v>
      </c>
      <c r="L223" s="96">
        <f t="shared" si="10"/>
        <v>0</v>
      </c>
      <c r="M223" s="97"/>
    </row>
    <row r="224" ht="21.75" customHeight="1">
      <c r="A224" s="98" t="s">
        <v>507</v>
      </c>
      <c r="B224" s="78" t="s">
        <v>498</v>
      </c>
      <c r="C224" s="51" t="s">
        <v>499</v>
      </c>
      <c r="D224" s="51" t="s">
        <v>463</v>
      </c>
      <c r="E224" s="51"/>
      <c r="F224" s="51"/>
      <c r="G224" s="51" t="s">
        <v>75</v>
      </c>
      <c r="H224" s="51" t="s">
        <v>153</v>
      </c>
      <c r="I224" s="99" t="s">
        <v>81</v>
      </c>
      <c r="J224" s="53">
        <v>192.14</v>
      </c>
      <c r="K224" s="95">
        <v>192.14</v>
      </c>
      <c r="L224" s="100">
        <f t="shared" si="10"/>
        <v>0</v>
      </c>
      <c r="M224" s="101"/>
    </row>
    <row r="225" ht="21.75" customHeight="1">
      <c r="A225" s="93" t="s">
        <v>508</v>
      </c>
      <c r="B225" s="74" t="s">
        <v>498</v>
      </c>
      <c r="C225" s="57" t="s">
        <v>499</v>
      </c>
      <c r="D225" s="57" t="s">
        <v>463</v>
      </c>
      <c r="E225" s="57"/>
      <c r="F225" s="57"/>
      <c r="G225" s="57" t="s">
        <v>75</v>
      </c>
      <c r="H225" s="57" t="s">
        <v>153</v>
      </c>
      <c r="I225" s="99" t="s">
        <v>81</v>
      </c>
      <c r="J225" s="59">
        <v>192.14</v>
      </c>
      <c r="K225" s="95">
        <v>192.14</v>
      </c>
      <c r="L225" s="96">
        <f t="shared" si="10"/>
        <v>0</v>
      </c>
      <c r="M225" s="97"/>
    </row>
    <row r="226" ht="21.75" customHeight="1">
      <c r="A226" s="98" t="s">
        <v>509</v>
      </c>
      <c r="B226" s="78" t="s">
        <v>498</v>
      </c>
      <c r="C226" s="51" t="s">
        <v>499</v>
      </c>
      <c r="D226" s="51" t="s">
        <v>463</v>
      </c>
      <c r="E226" s="51"/>
      <c r="F226" s="51"/>
      <c r="G226" s="51" t="s">
        <v>75</v>
      </c>
      <c r="H226" s="51" t="s">
        <v>153</v>
      </c>
      <c r="I226" s="99" t="s">
        <v>81</v>
      </c>
      <c r="J226" s="53">
        <v>192.14</v>
      </c>
      <c r="K226" s="95">
        <v>192.14</v>
      </c>
      <c r="L226" s="100">
        <f t="shared" si="10"/>
        <v>0</v>
      </c>
      <c r="M226" s="101"/>
    </row>
    <row r="227" ht="21.75" customHeight="1">
      <c r="A227" s="93" t="s">
        <v>510</v>
      </c>
      <c r="B227" s="74" t="s">
        <v>511</v>
      </c>
      <c r="C227" s="57" t="s">
        <v>151</v>
      </c>
      <c r="D227" s="57" t="s">
        <v>463</v>
      </c>
      <c r="E227" s="57"/>
      <c r="F227" s="57"/>
      <c r="G227" s="57" t="s">
        <v>75</v>
      </c>
      <c r="H227" s="57" t="s">
        <v>153</v>
      </c>
      <c r="I227" s="99" t="s">
        <v>81</v>
      </c>
      <c r="J227" s="59">
        <v>640.0</v>
      </c>
      <c r="K227" s="95">
        <v>640.0</v>
      </c>
      <c r="L227" s="96">
        <f t="shared" si="10"/>
        <v>0</v>
      </c>
      <c r="M227" s="97"/>
    </row>
    <row r="228" ht="21.75" customHeight="1">
      <c r="A228" s="98" t="s">
        <v>512</v>
      </c>
      <c r="B228" s="78" t="s">
        <v>511</v>
      </c>
      <c r="C228" s="51" t="s">
        <v>151</v>
      </c>
      <c r="D228" s="51" t="s">
        <v>463</v>
      </c>
      <c r="E228" s="51"/>
      <c r="F228" s="51"/>
      <c r="G228" s="51" t="s">
        <v>75</v>
      </c>
      <c r="H228" s="51" t="s">
        <v>153</v>
      </c>
      <c r="I228" s="99" t="s">
        <v>81</v>
      </c>
      <c r="J228" s="53">
        <v>640.0</v>
      </c>
      <c r="K228" s="95">
        <v>640.0</v>
      </c>
      <c r="L228" s="100">
        <f t="shared" si="10"/>
        <v>0</v>
      </c>
      <c r="M228" s="101"/>
    </row>
    <row r="229" ht="21.75" customHeight="1">
      <c r="A229" s="93" t="s">
        <v>513</v>
      </c>
      <c r="B229" s="74" t="s">
        <v>511</v>
      </c>
      <c r="C229" s="57" t="s">
        <v>151</v>
      </c>
      <c r="D229" s="57" t="s">
        <v>463</v>
      </c>
      <c r="E229" s="57"/>
      <c r="F229" s="57"/>
      <c r="G229" s="57" t="s">
        <v>75</v>
      </c>
      <c r="H229" s="57" t="s">
        <v>153</v>
      </c>
      <c r="I229" s="99" t="s">
        <v>81</v>
      </c>
      <c r="J229" s="59">
        <v>640.0</v>
      </c>
      <c r="K229" s="95">
        <v>640.0</v>
      </c>
      <c r="L229" s="96">
        <f t="shared" si="10"/>
        <v>0</v>
      </c>
      <c r="M229" s="97"/>
    </row>
    <row r="230" ht="21.75" customHeight="1">
      <c r="A230" s="98" t="s">
        <v>514</v>
      </c>
      <c r="B230" s="78" t="s">
        <v>511</v>
      </c>
      <c r="C230" s="51" t="s">
        <v>151</v>
      </c>
      <c r="D230" s="51" t="s">
        <v>463</v>
      </c>
      <c r="E230" s="51"/>
      <c r="F230" s="51"/>
      <c r="G230" s="51" t="s">
        <v>75</v>
      </c>
      <c r="H230" s="51" t="s">
        <v>153</v>
      </c>
      <c r="I230" s="99" t="s">
        <v>81</v>
      </c>
      <c r="J230" s="53">
        <v>640.0</v>
      </c>
      <c r="K230" s="95">
        <v>640.0</v>
      </c>
      <c r="L230" s="100">
        <f t="shared" si="10"/>
        <v>0</v>
      </c>
      <c r="M230" s="101"/>
    </row>
    <row r="231" ht="21.75" customHeight="1">
      <c r="A231" s="93" t="s">
        <v>515</v>
      </c>
      <c r="B231" s="74" t="s">
        <v>511</v>
      </c>
      <c r="C231" s="57" t="s">
        <v>151</v>
      </c>
      <c r="D231" s="57" t="s">
        <v>463</v>
      </c>
      <c r="E231" s="57"/>
      <c r="F231" s="57"/>
      <c r="G231" s="57" t="s">
        <v>75</v>
      </c>
      <c r="H231" s="57" t="s">
        <v>153</v>
      </c>
      <c r="I231" s="99" t="s">
        <v>81</v>
      </c>
      <c r="J231" s="59">
        <v>640.0</v>
      </c>
      <c r="K231" s="95">
        <v>640.0</v>
      </c>
      <c r="L231" s="96">
        <f t="shared" si="10"/>
        <v>0</v>
      </c>
      <c r="M231" s="97"/>
    </row>
    <row r="232" ht="21.75" customHeight="1">
      <c r="A232" s="98" t="s">
        <v>516</v>
      </c>
      <c r="B232" s="78" t="s">
        <v>511</v>
      </c>
      <c r="C232" s="51" t="s">
        <v>151</v>
      </c>
      <c r="D232" s="51" t="s">
        <v>463</v>
      </c>
      <c r="E232" s="51"/>
      <c r="F232" s="51"/>
      <c r="G232" s="51" t="s">
        <v>75</v>
      </c>
      <c r="H232" s="51" t="s">
        <v>153</v>
      </c>
      <c r="I232" s="99" t="s">
        <v>81</v>
      </c>
      <c r="J232" s="53">
        <v>640.0</v>
      </c>
      <c r="K232" s="95">
        <v>640.0</v>
      </c>
      <c r="L232" s="100">
        <f t="shared" si="10"/>
        <v>0</v>
      </c>
      <c r="M232" s="101"/>
    </row>
    <row r="233" ht="21.75" customHeight="1">
      <c r="A233" s="93" t="s">
        <v>517</v>
      </c>
      <c r="B233" s="74" t="s">
        <v>511</v>
      </c>
      <c r="C233" s="57" t="s">
        <v>151</v>
      </c>
      <c r="D233" s="57" t="s">
        <v>463</v>
      </c>
      <c r="E233" s="57"/>
      <c r="F233" s="57"/>
      <c r="G233" s="57" t="s">
        <v>75</v>
      </c>
      <c r="H233" s="57" t="s">
        <v>153</v>
      </c>
      <c r="I233" s="99" t="s">
        <v>81</v>
      </c>
      <c r="J233" s="59">
        <v>640.0</v>
      </c>
      <c r="K233" s="95">
        <v>640.0</v>
      </c>
      <c r="L233" s="96">
        <f t="shared" si="10"/>
        <v>0</v>
      </c>
      <c r="M233" s="97"/>
    </row>
    <row r="234" ht="21.75" customHeight="1">
      <c r="A234" s="98" t="s">
        <v>518</v>
      </c>
      <c r="B234" s="78" t="s">
        <v>511</v>
      </c>
      <c r="C234" s="51" t="s">
        <v>151</v>
      </c>
      <c r="D234" s="51" t="s">
        <v>463</v>
      </c>
      <c r="E234" s="51"/>
      <c r="F234" s="51"/>
      <c r="G234" s="51" t="s">
        <v>75</v>
      </c>
      <c r="H234" s="51" t="s">
        <v>153</v>
      </c>
      <c r="I234" s="99" t="s">
        <v>81</v>
      </c>
      <c r="J234" s="53">
        <v>640.0</v>
      </c>
      <c r="K234" s="95">
        <v>640.0</v>
      </c>
      <c r="L234" s="100">
        <f t="shared" si="10"/>
        <v>0</v>
      </c>
      <c r="M234" s="101"/>
    </row>
    <row r="235" ht="21.75" customHeight="1">
      <c r="A235" s="93" t="s">
        <v>519</v>
      </c>
      <c r="B235" s="74" t="s">
        <v>511</v>
      </c>
      <c r="C235" s="57" t="s">
        <v>151</v>
      </c>
      <c r="D235" s="57" t="s">
        <v>463</v>
      </c>
      <c r="E235" s="57"/>
      <c r="F235" s="57"/>
      <c r="G235" s="57" t="s">
        <v>75</v>
      </c>
      <c r="H235" s="57" t="s">
        <v>153</v>
      </c>
      <c r="I235" s="99" t="s">
        <v>81</v>
      </c>
      <c r="J235" s="59">
        <v>640.0</v>
      </c>
      <c r="K235" s="95">
        <v>640.0</v>
      </c>
      <c r="L235" s="96">
        <f t="shared" si="10"/>
        <v>0</v>
      </c>
      <c r="M235" s="97"/>
    </row>
    <row r="236" ht="21.75" customHeight="1">
      <c r="A236" s="98" t="s">
        <v>520</v>
      </c>
      <c r="B236" s="78" t="s">
        <v>511</v>
      </c>
      <c r="C236" s="51" t="s">
        <v>151</v>
      </c>
      <c r="D236" s="51" t="s">
        <v>463</v>
      </c>
      <c r="E236" s="51"/>
      <c r="F236" s="51"/>
      <c r="G236" s="51" t="s">
        <v>75</v>
      </c>
      <c r="H236" s="51" t="s">
        <v>153</v>
      </c>
      <c r="I236" s="99" t="s">
        <v>81</v>
      </c>
      <c r="J236" s="53">
        <v>640.0</v>
      </c>
      <c r="K236" s="95">
        <v>640.0</v>
      </c>
      <c r="L236" s="100">
        <f t="shared" si="10"/>
        <v>0</v>
      </c>
      <c r="M236" s="101"/>
    </row>
    <row r="237" ht="21.75" customHeight="1">
      <c r="A237" s="93" t="s">
        <v>521</v>
      </c>
      <c r="B237" s="74" t="s">
        <v>522</v>
      </c>
      <c r="C237" s="57" t="s">
        <v>401</v>
      </c>
      <c r="D237" s="57" t="s">
        <v>463</v>
      </c>
      <c r="E237" s="57"/>
      <c r="F237" s="57"/>
      <c r="G237" s="57" t="s">
        <v>75</v>
      </c>
      <c r="H237" s="57" t="s">
        <v>153</v>
      </c>
      <c r="I237" s="99" t="s">
        <v>81</v>
      </c>
      <c r="J237" s="59">
        <v>640.0</v>
      </c>
      <c r="K237" s="95">
        <v>640.0</v>
      </c>
      <c r="L237" s="96">
        <f t="shared" si="10"/>
        <v>0</v>
      </c>
      <c r="M237" s="97"/>
    </row>
    <row r="238" ht="21.75" customHeight="1">
      <c r="A238" s="98" t="s">
        <v>523</v>
      </c>
      <c r="B238" s="78" t="s">
        <v>524</v>
      </c>
      <c r="C238" s="51" t="s">
        <v>151</v>
      </c>
      <c r="D238" s="51" t="s">
        <v>463</v>
      </c>
      <c r="E238" s="51"/>
      <c r="F238" s="51"/>
      <c r="G238" s="51" t="s">
        <v>75</v>
      </c>
      <c r="H238" s="51" t="s">
        <v>153</v>
      </c>
      <c r="I238" s="99" t="s">
        <v>81</v>
      </c>
      <c r="J238" s="53">
        <v>664.99</v>
      </c>
      <c r="K238" s="95">
        <v>664.99</v>
      </c>
      <c r="L238" s="100">
        <f t="shared" si="10"/>
        <v>0</v>
      </c>
      <c r="M238" s="101"/>
    </row>
    <row r="239" ht="21.75" customHeight="1">
      <c r="A239" s="93" t="s">
        <v>525</v>
      </c>
      <c r="B239" s="74" t="s">
        <v>524</v>
      </c>
      <c r="C239" s="57" t="s">
        <v>151</v>
      </c>
      <c r="D239" s="57" t="s">
        <v>463</v>
      </c>
      <c r="E239" s="57"/>
      <c r="F239" s="57"/>
      <c r="G239" s="57" t="s">
        <v>75</v>
      </c>
      <c r="H239" s="57" t="s">
        <v>153</v>
      </c>
      <c r="I239" s="99" t="s">
        <v>81</v>
      </c>
      <c r="J239" s="59">
        <v>664.99</v>
      </c>
      <c r="K239" s="95">
        <v>664.99</v>
      </c>
      <c r="L239" s="96">
        <f t="shared" si="10"/>
        <v>0</v>
      </c>
      <c r="M239" s="97"/>
    </row>
    <row r="240" ht="21.75" customHeight="1">
      <c r="A240" s="98" t="s">
        <v>526</v>
      </c>
      <c r="B240" s="78" t="s">
        <v>524</v>
      </c>
      <c r="C240" s="51" t="s">
        <v>151</v>
      </c>
      <c r="D240" s="51" t="s">
        <v>463</v>
      </c>
      <c r="E240" s="51"/>
      <c r="F240" s="51"/>
      <c r="G240" s="51" t="s">
        <v>75</v>
      </c>
      <c r="H240" s="51" t="s">
        <v>153</v>
      </c>
      <c r="I240" s="99" t="s">
        <v>81</v>
      </c>
      <c r="J240" s="53">
        <v>664.99</v>
      </c>
      <c r="K240" s="95">
        <v>664.99</v>
      </c>
      <c r="L240" s="100">
        <f t="shared" si="10"/>
        <v>0</v>
      </c>
      <c r="M240" s="101"/>
    </row>
    <row r="241" ht="21.75" customHeight="1">
      <c r="A241" s="93" t="s">
        <v>527</v>
      </c>
      <c r="B241" s="74" t="s">
        <v>524</v>
      </c>
      <c r="C241" s="57" t="s">
        <v>151</v>
      </c>
      <c r="D241" s="57" t="s">
        <v>463</v>
      </c>
      <c r="E241" s="57"/>
      <c r="F241" s="57"/>
      <c r="G241" s="57" t="s">
        <v>75</v>
      </c>
      <c r="H241" s="57" t="s">
        <v>153</v>
      </c>
      <c r="I241" s="99" t="s">
        <v>81</v>
      </c>
      <c r="J241" s="59">
        <v>664.99</v>
      </c>
      <c r="K241" s="95">
        <v>664.99</v>
      </c>
      <c r="L241" s="96">
        <f t="shared" si="10"/>
        <v>0</v>
      </c>
      <c r="M241" s="97"/>
    </row>
    <row r="242" ht="21.75" customHeight="1">
      <c r="A242" s="98" t="s">
        <v>528</v>
      </c>
      <c r="B242" s="78" t="s">
        <v>524</v>
      </c>
      <c r="C242" s="51" t="s">
        <v>151</v>
      </c>
      <c r="D242" s="51" t="s">
        <v>463</v>
      </c>
      <c r="E242" s="51"/>
      <c r="F242" s="51"/>
      <c r="G242" s="51" t="s">
        <v>75</v>
      </c>
      <c r="H242" s="51" t="s">
        <v>153</v>
      </c>
      <c r="I242" s="99" t="s">
        <v>81</v>
      </c>
      <c r="J242" s="53">
        <v>664.99</v>
      </c>
      <c r="K242" s="95">
        <v>664.99</v>
      </c>
      <c r="L242" s="100">
        <f t="shared" si="10"/>
        <v>0</v>
      </c>
      <c r="M242" s="101"/>
    </row>
    <row r="243" ht="21.75" customHeight="1">
      <c r="A243" s="93" t="s">
        <v>529</v>
      </c>
      <c r="B243" s="74" t="s">
        <v>524</v>
      </c>
      <c r="C243" s="57" t="s">
        <v>151</v>
      </c>
      <c r="D243" s="57" t="s">
        <v>463</v>
      </c>
      <c r="E243" s="57"/>
      <c r="F243" s="57"/>
      <c r="G243" s="57" t="s">
        <v>75</v>
      </c>
      <c r="H243" s="57" t="s">
        <v>153</v>
      </c>
      <c r="I243" s="99" t="s">
        <v>81</v>
      </c>
      <c r="J243" s="59">
        <v>664.99</v>
      </c>
      <c r="K243" s="95">
        <v>664.99</v>
      </c>
      <c r="L243" s="96">
        <f t="shared" si="10"/>
        <v>0</v>
      </c>
      <c r="M243" s="97"/>
    </row>
    <row r="244" ht="21.75" customHeight="1">
      <c r="A244" s="98" t="s">
        <v>530</v>
      </c>
      <c r="B244" s="78" t="s">
        <v>524</v>
      </c>
      <c r="C244" s="51" t="s">
        <v>151</v>
      </c>
      <c r="D244" s="51" t="s">
        <v>463</v>
      </c>
      <c r="E244" s="51"/>
      <c r="F244" s="51"/>
      <c r="G244" s="51" t="s">
        <v>75</v>
      </c>
      <c r="H244" s="51" t="s">
        <v>153</v>
      </c>
      <c r="I244" s="99" t="s">
        <v>81</v>
      </c>
      <c r="J244" s="53">
        <v>664.99</v>
      </c>
      <c r="K244" s="95">
        <v>664.99</v>
      </c>
      <c r="L244" s="100">
        <f t="shared" si="10"/>
        <v>0</v>
      </c>
      <c r="M244" s="101"/>
    </row>
    <row r="245" ht="21.75" customHeight="1">
      <c r="A245" s="93" t="s">
        <v>531</v>
      </c>
      <c r="B245" s="74" t="s">
        <v>524</v>
      </c>
      <c r="C245" s="57" t="s">
        <v>151</v>
      </c>
      <c r="D245" s="57" t="s">
        <v>463</v>
      </c>
      <c r="E245" s="57"/>
      <c r="F245" s="57"/>
      <c r="G245" s="57" t="s">
        <v>75</v>
      </c>
      <c r="H245" s="57" t="s">
        <v>153</v>
      </c>
      <c r="I245" s="99" t="s">
        <v>81</v>
      </c>
      <c r="J245" s="59">
        <v>664.99</v>
      </c>
      <c r="K245" s="95">
        <v>664.99</v>
      </c>
      <c r="L245" s="96">
        <f t="shared" si="10"/>
        <v>0</v>
      </c>
      <c r="M245" s="97"/>
    </row>
    <row r="246" ht="21.75" customHeight="1">
      <c r="A246" s="98" t="s">
        <v>532</v>
      </c>
      <c r="B246" s="78" t="s">
        <v>524</v>
      </c>
      <c r="C246" s="51" t="s">
        <v>151</v>
      </c>
      <c r="D246" s="51" t="s">
        <v>463</v>
      </c>
      <c r="E246" s="51"/>
      <c r="F246" s="51"/>
      <c r="G246" s="51" t="s">
        <v>75</v>
      </c>
      <c r="H246" s="51" t="s">
        <v>153</v>
      </c>
      <c r="I246" s="99" t="s">
        <v>81</v>
      </c>
      <c r="J246" s="53">
        <v>664.99</v>
      </c>
      <c r="K246" s="95">
        <v>664.99</v>
      </c>
      <c r="L246" s="100">
        <f t="shared" si="10"/>
        <v>0</v>
      </c>
      <c r="M246" s="101"/>
    </row>
    <row r="247" ht="21.75" customHeight="1">
      <c r="A247" s="93" t="s">
        <v>533</v>
      </c>
      <c r="B247" s="74" t="s">
        <v>524</v>
      </c>
      <c r="C247" s="57" t="s">
        <v>151</v>
      </c>
      <c r="D247" s="57" t="s">
        <v>463</v>
      </c>
      <c r="E247" s="57"/>
      <c r="F247" s="57"/>
      <c r="G247" s="57" t="s">
        <v>75</v>
      </c>
      <c r="H247" s="57" t="s">
        <v>153</v>
      </c>
      <c r="I247" s="99" t="s">
        <v>81</v>
      </c>
      <c r="J247" s="59">
        <v>664.99</v>
      </c>
      <c r="K247" s="95">
        <v>664.99</v>
      </c>
      <c r="L247" s="96">
        <f t="shared" si="10"/>
        <v>0</v>
      </c>
      <c r="M247" s="97"/>
    </row>
    <row r="248" ht="21.75" customHeight="1">
      <c r="A248" s="98" t="s">
        <v>534</v>
      </c>
      <c r="B248" s="78" t="s">
        <v>524</v>
      </c>
      <c r="C248" s="51" t="s">
        <v>151</v>
      </c>
      <c r="D248" s="51" t="s">
        <v>463</v>
      </c>
      <c r="E248" s="51"/>
      <c r="F248" s="51"/>
      <c r="G248" s="51" t="s">
        <v>75</v>
      </c>
      <c r="H248" s="51" t="s">
        <v>153</v>
      </c>
      <c r="I248" s="99" t="s">
        <v>81</v>
      </c>
      <c r="J248" s="53">
        <v>664.99</v>
      </c>
      <c r="K248" s="95">
        <v>664.99</v>
      </c>
      <c r="L248" s="100">
        <f t="shared" si="10"/>
        <v>0</v>
      </c>
      <c r="M248" s="101"/>
    </row>
    <row r="249" ht="21.75" customHeight="1">
      <c r="A249" s="93" t="s">
        <v>535</v>
      </c>
      <c r="B249" s="74" t="s">
        <v>524</v>
      </c>
      <c r="C249" s="57" t="s">
        <v>151</v>
      </c>
      <c r="D249" s="57" t="s">
        <v>463</v>
      </c>
      <c r="E249" s="57"/>
      <c r="F249" s="57"/>
      <c r="G249" s="57" t="s">
        <v>75</v>
      </c>
      <c r="H249" s="57" t="s">
        <v>153</v>
      </c>
      <c r="I249" s="99" t="s">
        <v>81</v>
      </c>
      <c r="J249" s="59">
        <v>664.99</v>
      </c>
      <c r="K249" s="95">
        <v>664.99</v>
      </c>
      <c r="L249" s="96">
        <f t="shared" si="10"/>
        <v>0</v>
      </c>
      <c r="M249" s="97"/>
    </row>
    <row r="250" ht="21.75" customHeight="1">
      <c r="A250" s="98" t="s">
        <v>536</v>
      </c>
      <c r="B250" s="78" t="s">
        <v>524</v>
      </c>
      <c r="C250" s="51" t="s">
        <v>151</v>
      </c>
      <c r="D250" s="51" t="s">
        <v>463</v>
      </c>
      <c r="E250" s="51"/>
      <c r="F250" s="51"/>
      <c r="G250" s="51" t="s">
        <v>75</v>
      </c>
      <c r="H250" s="51" t="s">
        <v>153</v>
      </c>
      <c r="I250" s="99" t="s">
        <v>81</v>
      </c>
      <c r="J250" s="53">
        <v>664.99</v>
      </c>
      <c r="K250" s="95">
        <v>664.99</v>
      </c>
      <c r="L250" s="100">
        <f t="shared" si="10"/>
        <v>0</v>
      </c>
      <c r="M250" s="101"/>
    </row>
    <row r="251" ht="21.75" customHeight="1">
      <c r="A251" s="93" t="s">
        <v>537</v>
      </c>
      <c r="B251" s="74" t="s">
        <v>524</v>
      </c>
      <c r="C251" s="57" t="s">
        <v>151</v>
      </c>
      <c r="D251" s="57" t="s">
        <v>463</v>
      </c>
      <c r="E251" s="57"/>
      <c r="F251" s="57"/>
      <c r="G251" s="57" t="s">
        <v>75</v>
      </c>
      <c r="H251" s="57" t="s">
        <v>153</v>
      </c>
      <c r="I251" s="99" t="s">
        <v>81</v>
      </c>
      <c r="J251" s="59">
        <v>664.99</v>
      </c>
      <c r="K251" s="95">
        <v>664.99</v>
      </c>
      <c r="L251" s="96">
        <f t="shared" si="10"/>
        <v>0</v>
      </c>
      <c r="M251" s="97"/>
    </row>
    <row r="252" ht="21.75" customHeight="1">
      <c r="A252" s="98" t="s">
        <v>538</v>
      </c>
      <c r="B252" s="78" t="s">
        <v>524</v>
      </c>
      <c r="C252" s="51" t="s">
        <v>151</v>
      </c>
      <c r="D252" s="51" t="s">
        <v>463</v>
      </c>
      <c r="E252" s="51"/>
      <c r="F252" s="51"/>
      <c r="G252" s="51" t="s">
        <v>75</v>
      </c>
      <c r="H252" s="51" t="s">
        <v>153</v>
      </c>
      <c r="I252" s="99" t="s">
        <v>81</v>
      </c>
      <c r="J252" s="53">
        <v>664.99</v>
      </c>
      <c r="K252" s="95">
        <v>664.99</v>
      </c>
      <c r="L252" s="100">
        <f t="shared" si="10"/>
        <v>0</v>
      </c>
      <c r="M252" s="101"/>
    </row>
    <row r="253" ht="21.75" customHeight="1">
      <c r="A253" s="93" t="s">
        <v>539</v>
      </c>
      <c r="B253" s="74" t="s">
        <v>524</v>
      </c>
      <c r="C253" s="57" t="s">
        <v>151</v>
      </c>
      <c r="D253" s="57" t="s">
        <v>463</v>
      </c>
      <c r="E253" s="57"/>
      <c r="F253" s="57"/>
      <c r="G253" s="57" t="s">
        <v>75</v>
      </c>
      <c r="H253" s="57" t="s">
        <v>153</v>
      </c>
      <c r="I253" s="99" t="s">
        <v>81</v>
      </c>
      <c r="J253" s="59">
        <v>664.99</v>
      </c>
      <c r="K253" s="95">
        <v>664.99</v>
      </c>
      <c r="L253" s="96">
        <f t="shared" si="10"/>
        <v>0</v>
      </c>
      <c r="M253" s="97"/>
    </row>
    <row r="254" ht="21.75" customHeight="1">
      <c r="A254" s="98" t="s">
        <v>540</v>
      </c>
      <c r="B254" s="78" t="s">
        <v>524</v>
      </c>
      <c r="C254" s="51" t="s">
        <v>151</v>
      </c>
      <c r="D254" s="51" t="s">
        <v>463</v>
      </c>
      <c r="E254" s="51"/>
      <c r="F254" s="51"/>
      <c r="G254" s="51" t="s">
        <v>75</v>
      </c>
      <c r="H254" s="51" t="s">
        <v>153</v>
      </c>
      <c r="I254" s="99" t="s">
        <v>81</v>
      </c>
      <c r="J254" s="53">
        <v>664.99</v>
      </c>
      <c r="K254" s="95">
        <v>664.99</v>
      </c>
      <c r="L254" s="100">
        <f t="shared" si="10"/>
        <v>0</v>
      </c>
      <c r="M254" s="101"/>
    </row>
    <row r="255" ht="21.75" customHeight="1">
      <c r="A255" s="93" t="s">
        <v>541</v>
      </c>
      <c r="B255" s="74" t="s">
        <v>524</v>
      </c>
      <c r="C255" s="57" t="s">
        <v>151</v>
      </c>
      <c r="D255" s="57" t="s">
        <v>463</v>
      </c>
      <c r="E255" s="57"/>
      <c r="F255" s="57"/>
      <c r="G255" s="57" t="s">
        <v>75</v>
      </c>
      <c r="H255" s="57" t="s">
        <v>153</v>
      </c>
      <c r="I255" s="99" t="s">
        <v>81</v>
      </c>
      <c r="J255" s="59">
        <v>664.99</v>
      </c>
      <c r="K255" s="95">
        <v>664.99</v>
      </c>
      <c r="L255" s="96">
        <f t="shared" si="10"/>
        <v>0</v>
      </c>
      <c r="M255" s="97"/>
    </row>
    <row r="256" ht="21.75" customHeight="1">
      <c r="A256" s="98" t="s">
        <v>542</v>
      </c>
      <c r="B256" s="78" t="s">
        <v>524</v>
      </c>
      <c r="C256" s="51" t="s">
        <v>151</v>
      </c>
      <c r="D256" s="51" t="s">
        <v>463</v>
      </c>
      <c r="E256" s="51"/>
      <c r="F256" s="51"/>
      <c r="G256" s="51" t="s">
        <v>75</v>
      </c>
      <c r="H256" s="51" t="s">
        <v>153</v>
      </c>
      <c r="I256" s="99" t="s">
        <v>81</v>
      </c>
      <c r="J256" s="53">
        <v>664.99</v>
      </c>
      <c r="K256" s="95">
        <v>664.99</v>
      </c>
      <c r="L256" s="100">
        <f t="shared" si="10"/>
        <v>0</v>
      </c>
      <c r="M256" s="101"/>
    </row>
    <row r="257" ht="21.75" customHeight="1">
      <c r="A257" s="93" t="s">
        <v>543</v>
      </c>
      <c r="B257" s="74" t="s">
        <v>524</v>
      </c>
      <c r="C257" s="57" t="s">
        <v>151</v>
      </c>
      <c r="D257" s="57" t="s">
        <v>463</v>
      </c>
      <c r="E257" s="57"/>
      <c r="F257" s="57"/>
      <c r="G257" s="57" t="s">
        <v>75</v>
      </c>
      <c r="H257" s="57" t="s">
        <v>153</v>
      </c>
      <c r="I257" s="99" t="s">
        <v>81</v>
      </c>
      <c r="J257" s="59">
        <v>664.99</v>
      </c>
      <c r="K257" s="95">
        <v>664.99</v>
      </c>
      <c r="L257" s="96">
        <f t="shared" si="10"/>
        <v>0</v>
      </c>
      <c r="M257" s="97"/>
    </row>
    <row r="258" ht="21.75" customHeight="1">
      <c r="A258" s="98" t="s">
        <v>544</v>
      </c>
      <c r="B258" s="78" t="s">
        <v>524</v>
      </c>
      <c r="C258" s="51" t="s">
        <v>151</v>
      </c>
      <c r="D258" s="51" t="s">
        <v>463</v>
      </c>
      <c r="E258" s="51"/>
      <c r="F258" s="51"/>
      <c r="G258" s="51" t="s">
        <v>75</v>
      </c>
      <c r="H258" s="51" t="s">
        <v>153</v>
      </c>
      <c r="I258" s="99" t="s">
        <v>81</v>
      </c>
      <c r="J258" s="53">
        <v>664.99</v>
      </c>
      <c r="K258" s="95">
        <v>664.99</v>
      </c>
      <c r="L258" s="100">
        <f t="shared" si="10"/>
        <v>0</v>
      </c>
      <c r="M258" s="101"/>
    </row>
    <row r="259" ht="21.75" customHeight="1">
      <c r="A259" s="93" t="s">
        <v>545</v>
      </c>
      <c r="B259" s="74" t="s">
        <v>524</v>
      </c>
      <c r="C259" s="57" t="s">
        <v>151</v>
      </c>
      <c r="D259" s="57" t="s">
        <v>463</v>
      </c>
      <c r="E259" s="57"/>
      <c r="F259" s="57"/>
      <c r="G259" s="57" t="s">
        <v>75</v>
      </c>
      <c r="H259" s="57" t="s">
        <v>153</v>
      </c>
      <c r="I259" s="99" t="s">
        <v>81</v>
      </c>
      <c r="J259" s="59">
        <v>664.99</v>
      </c>
      <c r="K259" s="95">
        <v>664.99</v>
      </c>
      <c r="L259" s="96">
        <f t="shared" si="10"/>
        <v>0</v>
      </c>
      <c r="M259" s="97"/>
    </row>
    <row r="260" ht="21.75" customHeight="1">
      <c r="A260" s="98" t="s">
        <v>546</v>
      </c>
      <c r="B260" s="78" t="s">
        <v>524</v>
      </c>
      <c r="C260" s="51" t="s">
        <v>151</v>
      </c>
      <c r="D260" s="51" t="s">
        <v>463</v>
      </c>
      <c r="E260" s="51"/>
      <c r="F260" s="51"/>
      <c r="G260" s="51" t="s">
        <v>75</v>
      </c>
      <c r="H260" s="51" t="s">
        <v>153</v>
      </c>
      <c r="I260" s="99" t="s">
        <v>81</v>
      </c>
      <c r="J260" s="53">
        <v>664.99</v>
      </c>
      <c r="K260" s="95">
        <v>664.99</v>
      </c>
      <c r="L260" s="100">
        <f t="shared" si="10"/>
        <v>0</v>
      </c>
      <c r="M260" s="101"/>
    </row>
    <row r="261" ht="21.75" customHeight="1">
      <c r="A261" s="93" t="s">
        <v>547</v>
      </c>
      <c r="B261" s="74" t="s">
        <v>524</v>
      </c>
      <c r="C261" s="57" t="s">
        <v>151</v>
      </c>
      <c r="D261" s="57" t="s">
        <v>463</v>
      </c>
      <c r="E261" s="57"/>
      <c r="F261" s="57"/>
      <c r="G261" s="57" t="s">
        <v>75</v>
      </c>
      <c r="H261" s="57" t="s">
        <v>153</v>
      </c>
      <c r="I261" s="99" t="s">
        <v>81</v>
      </c>
      <c r="J261" s="59">
        <v>664.99</v>
      </c>
      <c r="K261" s="95">
        <v>664.99</v>
      </c>
      <c r="L261" s="96">
        <f t="shared" si="10"/>
        <v>0</v>
      </c>
      <c r="M261" s="97"/>
    </row>
    <row r="262" ht="21.75" customHeight="1">
      <c r="A262" s="98" t="s">
        <v>548</v>
      </c>
      <c r="B262" s="78" t="s">
        <v>524</v>
      </c>
      <c r="C262" s="51" t="s">
        <v>151</v>
      </c>
      <c r="D262" s="51" t="s">
        <v>463</v>
      </c>
      <c r="E262" s="51"/>
      <c r="F262" s="51"/>
      <c r="G262" s="51" t="s">
        <v>75</v>
      </c>
      <c r="H262" s="51" t="s">
        <v>153</v>
      </c>
      <c r="I262" s="99" t="s">
        <v>81</v>
      </c>
      <c r="J262" s="53">
        <v>664.99</v>
      </c>
      <c r="K262" s="95">
        <v>664.99</v>
      </c>
      <c r="L262" s="100">
        <f t="shared" si="10"/>
        <v>0</v>
      </c>
      <c r="M262" s="101"/>
    </row>
    <row r="263" ht="21.75" customHeight="1">
      <c r="A263" s="93" t="s">
        <v>549</v>
      </c>
      <c r="B263" s="74" t="s">
        <v>524</v>
      </c>
      <c r="C263" s="57" t="s">
        <v>151</v>
      </c>
      <c r="D263" s="57" t="s">
        <v>463</v>
      </c>
      <c r="E263" s="57"/>
      <c r="F263" s="57"/>
      <c r="G263" s="57" t="s">
        <v>75</v>
      </c>
      <c r="H263" s="57" t="s">
        <v>153</v>
      </c>
      <c r="I263" s="99" t="s">
        <v>81</v>
      </c>
      <c r="J263" s="59">
        <v>664.99</v>
      </c>
      <c r="K263" s="95">
        <v>664.99</v>
      </c>
      <c r="L263" s="96">
        <f t="shared" si="10"/>
        <v>0</v>
      </c>
      <c r="M263" s="97"/>
    </row>
    <row r="264" ht="21.75" customHeight="1">
      <c r="A264" s="98" t="s">
        <v>550</v>
      </c>
      <c r="B264" s="78" t="s">
        <v>524</v>
      </c>
      <c r="C264" s="51" t="s">
        <v>151</v>
      </c>
      <c r="D264" s="51" t="s">
        <v>463</v>
      </c>
      <c r="E264" s="51"/>
      <c r="F264" s="51"/>
      <c r="G264" s="51" t="s">
        <v>75</v>
      </c>
      <c r="H264" s="51" t="s">
        <v>153</v>
      </c>
      <c r="I264" s="99" t="s">
        <v>81</v>
      </c>
      <c r="J264" s="53">
        <v>664.99</v>
      </c>
      <c r="K264" s="95">
        <v>664.99</v>
      </c>
      <c r="L264" s="100">
        <f t="shared" si="10"/>
        <v>0</v>
      </c>
      <c r="M264" s="101"/>
    </row>
    <row r="265" ht="21.75" customHeight="1">
      <c r="A265" s="93" t="s">
        <v>551</v>
      </c>
      <c r="B265" s="74" t="s">
        <v>524</v>
      </c>
      <c r="C265" s="57" t="s">
        <v>151</v>
      </c>
      <c r="D265" s="57" t="s">
        <v>463</v>
      </c>
      <c r="E265" s="57"/>
      <c r="F265" s="57"/>
      <c r="G265" s="57" t="s">
        <v>75</v>
      </c>
      <c r="H265" s="57" t="s">
        <v>153</v>
      </c>
      <c r="I265" s="99" t="s">
        <v>81</v>
      </c>
      <c r="J265" s="59">
        <v>664.99</v>
      </c>
      <c r="K265" s="95">
        <v>664.99</v>
      </c>
      <c r="L265" s="96">
        <f t="shared" si="10"/>
        <v>0</v>
      </c>
      <c r="M265" s="97"/>
    </row>
    <row r="266" ht="21.75" customHeight="1">
      <c r="A266" s="98" t="s">
        <v>552</v>
      </c>
      <c r="B266" s="78" t="s">
        <v>524</v>
      </c>
      <c r="C266" s="51" t="s">
        <v>151</v>
      </c>
      <c r="D266" s="51" t="s">
        <v>463</v>
      </c>
      <c r="E266" s="51"/>
      <c r="F266" s="51"/>
      <c r="G266" s="51" t="s">
        <v>75</v>
      </c>
      <c r="H266" s="51" t="s">
        <v>153</v>
      </c>
      <c r="I266" s="99" t="s">
        <v>81</v>
      </c>
      <c r="J266" s="53">
        <v>664.99</v>
      </c>
      <c r="K266" s="95">
        <v>664.99</v>
      </c>
      <c r="L266" s="100">
        <f t="shared" si="10"/>
        <v>0</v>
      </c>
      <c r="M266" s="101"/>
    </row>
    <row r="267" ht="21.75" customHeight="1">
      <c r="A267" s="93" t="s">
        <v>553</v>
      </c>
      <c r="B267" s="74" t="s">
        <v>524</v>
      </c>
      <c r="C267" s="57" t="s">
        <v>151</v>
      </c>
      <c r="D267" s="57" t="s">
        <v>463</v>
      </c>
      <c r="E267" s="57"/>
      <c r="F267" s="57"/>
      <c r="G267" s="57" t="s">
        <v>75</v>
      </c>
      <c r="H267" s="57" t="s">
        <v>153</v>
      </c>
      <c r="I267" s="99" t="s">
        <v>81</v>
      </c>
      <c r="J267" s="59">
        <v>664.99</v>
      </c>
      <c r="K267" s="95">
        <v>664.99</v>
      </c>
      <c r="L267" s="96">
        <f t="shared" si="10"/>
        <v>0</v>
      </c>
      <c r="M267" s="97"/>
    </row>
    <row r="268" ht="21.75" customHeight="1">
      <c r="A268" s="98" t="s">
        <v>554</v>
      </c>
      <c r="B268" s="78" t="s">
        <v>524</v>
      </c>
      <c r="C268" s="51" t="s">
        <v>151</v>
      </c>
      <c r="D268" s="51" t="s">
        <v>463</v>
      </c>
      <c r="E268" s="51"/>
      <c r="F268" s="51"/>
      <c r="G268" s="51" t="s">
        <v>75</v>
      </c>
      <c r="H268" s="51" t="s">
        <v>153</v>
      </c>
      <c r="I268" s="99" t="s">
        <v>81</v>
      </c>
      <c r="J268" s="53">
        <v>664.99</v>
      </c>
      <c r="K268" s="95">
        <v>664.99</v>
      </c>
      <c r="L268" s="100">
        <f t="shared" si="10"/>
        <v>0</v>
      </c>
      <c r="M268" s="101"/>
    </row>
    <row r="269" ht="21.75" customHeight="1">
      <c r="A269" s="93" t="s">
        <v>555</v>
      </c>
      <c r="B269" s="74" t="s">
        <v>524</v>
      </c>
      <c r="C269" s="57" t="s">
        <v>151</v>
      </c>
      <c r="D269" s="57" t="s">
        <v>463</v>
      </c>
      <c r="E269" s="57"/>
      <c r="F269" s="57"/>
      <c r="G269" s="57" t="s">
        <v>75</v>
      </c>
      <c r="H269" s="57" t="s">
        <v>153</v>
      </c>
      <c r="I269" s="99" t="s">
        <v>81</v>
      </c>
      <c r="J269" s="59">
        <v>664.99</v>
      </c>
      <c r="K269" s="95">
        <v>664.99</v>
      </c>
      <c r="L269" s="96">
        <f t="shared" si="10"/>
        <v>0</v>
      </c>
      <c r="M269" s="97"/>
    </row>
    <row r="270" ht="21.75" customHeight="1">
      <c r="A270" s="98" t="s">
        <v>556</v>
      </c>
      <c r="B270" s="78" t="s">
        <v>557</v>
      </c>
      <c r="C270" s="51"/>
      <c r="D270" s="51" t="s">
        <v>463</v>
      </c>
      <c r="E270" s="51"/>
      <c r="F270" s="51"/>
      <c r="G270" s="51" t="s">
        <v>75</v>
      </c>
      <c r="H270" s="51" t="s">
        <v>153</v>
      </c>
      <c r="I270" s="99" t="s">
        <v>81</v>
      </c>
      <c r="J270" s="53">
        <v>1350.0</v>
      </c>
      <c r="K270" s="95">
        <v>1290.0</v>
      </c>
      <c r="L270" s="100">
        <f t="shared" si="10"/>
        <v>0.04444444444</v>
      </c>
      <c r="M270" s="101"/>
    </row>
    <row r="271" ht="21.75" customHeight="1">
      <c r="A271" s="93" t="s">
        <v>558</v>
      </c>
      <c r="B271" s="74" t="s">
        <v>469</v>
      </c>
      <c r="C271" s="57"/>
      <c r="D271" s="57" t="s">
        <v>463</v>
      </c>
      <c r="E271" s="57" t="s">
        <v>559</v>
      </c>
      <c r="F271" s="57"/>
      <c r="G271" s="57" t="s">
        <v>75</v>
      </c>
      <c r="H271" s="57" t="s">
        <v>153</v>
      </c>
      <c r="I271" s="99" t="s">
        <v>81</v>
      </c>
      <c r="J271" s="59">
        <v>1350.0</v>
      </c>
      <c r="K271" s="95">
        <v>1290.0</v>
      </c>
      <c r="L271" s="96">
        <f t="shared" si="10"/>
        <v>0.04444444444</v>
      </c>
      <c r="M271" s="97"/>
    </row>
    <row r="272" ht="21.75" customHeight="1">
      <c r="A272" s="98" t="s">
        <v>560</v>
      </c>
      <c r="B272" s="78" t="s">
        <v>561</v>
      </c>
      <c r="C272" s="51"/>
      <c r="D272" s="51" t="s">
        <v>463</v>
      </c>
      <c r="E272" s="51"/>
      <c r="F272" s="51"/>
      <c r="G272" s="51" t="s">
        <v>75</v>
      </c>
      <c r="H272" s="51" t="s">
        <v>153</v>
      </c>
      <c r="I272" s="99" t="s">
        <v>81</v>
      </c>
      <c r="J272" s="53">
        <v>1350.0</v>
      </c>
      <c r="K272" s="95">
        <v>560.0</v>
      </c>
      <c r="L272" s="100">
        <f t="shared" si="10"/>
        <v>0.5851851852</v>
      </c>
      <c r="M272" s="101"/>
    </row>
    <row r="273" ht="24.0" customHeight="1">
      <c r="A273" s="92" t="s">
        <v>562</v>
      </c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5"/>
    </row>
    <row r="274" ht="21.75" customHeight="1">
      <c r="A274" s="93" t="s">
        <v>563</v>
      </c>
      <c r="B274" s="74" t="s">
        <v>564</v>
      </c>
      <c r="C274" s="57" t="s">
        <v>151</v>
      </c>
      <c r="D274" s="57" t="s">
        <v>565</v>
      </c>
      <c r="E274" s="57"/>
      <c r="F274" s="57"/>
      <c r="G274" s="57" t="s">
        <v>75</v>
      </c>
      <c r="H274" s="57" t="s">
        <v>153</v>
      </c>
      <c r="I274" s="99" t="s">
        <v>81</v>
      </c>
      <c r="J274" s="59">
        <v>289.0</v>
      </c>
      <c r="K274" s="95">
        <v>1100.0</v>
      </c>
      <c r="L274" s="96">
        <f t="shared" ref="L274:L277" si="11">IF(J274&gt;0,(J274-K274)/J274,"")</f>
        <v>-2.806228374</v>
      </c>
      <c r="M274" s="97"/>
    </row>
    <row r="275" ht="21.75" customHeight="1">
      <c r="A275" s="98" t="s">
        <v>566</v>
      </c>
      <c r="B275" s="78" t="s">
        <v>567</v>
      </c>
      <c r="C275" s="51"/>
      <c r="D275" s="51" t="s">
        <v>565</v>
      </c>
      <c r="E275" s="51" t="s">
        <v>568</v>
      </c>
      <c r="F275" s="51"/>
      <c r="G275" s="51" t="s">
        <v>75</v>
      </c>
      <c r="H275" s="51" t="s">
        <v>153</v>
      </c>
      <c r="I275" s="99" t="s">
        <v>81</v>
      </c>
      <c r="J275" s="53">
        <v>171.0</v>
      </c>
      <c r="K275" s="95">
        <v>171.0</v>
      </c>
      <c r="L275" s="100">
        <f t="shared" si="11"/>
        <v>0</v>
      </c>
      <c r="M275" s="101"/>
    </row>
    <row r="276" ht="21.75" customHeight="1">
      <c r="A276" s="93" t="s">
        <v>569</v>
      </c>
      <c r="B276" s="74" t="s">
        <v>570</v>
      </c>
      <c r="C276" s="57"/>
      <c r="D276" s="57" t="s">
        <v>565</v>
      </c>
      <c r="E276" s="57"/>
      <c r="F276" s="57"/>
      <c r="G276" s="57" t="s">
        <v>75</v>
      </c>
      <c r="H276" s="57" t="s">
        <v>153</v>
      </c>
      <c r="I276" s="99" t="s">
        <v>81</v>
      </c>
      <c r="J276" s="59">
        <v>171.0</v>
      </c>
      <c r="K276" s="95">
        <v>171.0</v>
      </c>
      <c r="L276" s="96">
        <f t="shared" si="11"/>
        <v>0</v>
      </c>
      <c r="M276" s="97"/>
    </row>
    <row r="277" ht="21.75" customHeight="1">
      <c r="A277" s="98" t="s">
        <v>571</v>
      </c>
      <c r="B277" s="78" t="s">
        <v>572</v>
      </c>
      <c r="C277" s="51"/>
      <c r="D277" s="51" t="s">
        <v>565</v>
      </c>
      <c r="E277" s="51"/>
      <c r="F277" s="51"/>
      <c r="G277" s="51" t="s">
        <v>75</v>
      </c>
      <c r="H277" s="51" t="s">
        <v>153</v>
      </c>
      <c r="I277" s="99" t="s">
        <v>81</v>
      </c>
      <c r="J277" s="53">
        <v>171.0</v>
      </c>
      <c r="K277" s="95">
        <v>171.0</v>
      </c>
      <c r="L277" s="100">
        <f t="shared" si="11"/>
        <v>0</v>
      </c>
      <c r="M277" s="101"/>
    </row>
    <row r="278" ht="24.0" customHeight="1">
      <c r="A278" s="92" t="s">
        <v>573</v>
      </c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5"/>
    </row>
    <row r="279" ht="21.75" customHeight="1">
      <c r="A279" s="93" t="s">
        <v>574</v>
      </c>
      <c r="B279" s="74" t="s">
        <v>575</v>
      </c>
      <c r="C279" s="57"/>
      <c r="D279" s="57" t="s">
        <v>576</v>
      </c>
      <c r="E279" s="57"/>
      <c r="F279" s="57"/>
      <c r="G279" s="57" t="s">
        <v>75</v>
      </c>
      <c r="H279" s="57" t="s">
        <v>153</v>
      </c>
      <c r="I279" s="99" t="s">
        <v>81</v>
      </c>
      <c r="J279" s="59">
        <v>799.0</v>
      </c>
      <c r="K279" s="95">
        <v>639.0</v>
      </c>
      <c r="L279" s="96">
        <f t="shared" ref="L279:L280" si="12">IF(J279&gt;0,(J279-K279)/J279,"")</f>
        <v>0.2002503129</v>
      </c>
      <c r="M279" s="97"/>
    </row>
    <row r="280" ht="21.75" customHeight="1">
      <c r="A280" s="98" t="s">
        <v>577</v>
      </c>
      <c r="B280" s="78" t="s">
        <v>575</v>
      </c>
      <c r="C280" s="51"/>
      <c r="D280" s="51" t="s">
        <v>576</v>
      </c>
      <c r="E280" s="51"/>
      <c r="F280" s="51"/>
      <c r="G280" s="51" t="s">
        <v>75</v>
      </c>
      <c r="H280" s="51" t="s">
        <v>153</v>
      </c>
      <c r="I280" s="99" t="s">
        <v>81</v>
      </c>
      <c r="J280" s="53">
        <v>799.0</v>
      </c>
      <c r="K280" s="95">
        <v>639.0</v>
      </c>
      <c r="L280" s="100">
        <f t="shared" si="12"/>
        <v>0.2002503129</v>
      </c>
      <c r="M280" s="101"/>
    </row>
    <row r="281" ht="24.0" customHeight="1">
      <c r="A281" s="92" t="s">
        <v>578</v>
      </c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5"/>
    </row>
    <row r="282" ht="21.75" customHeight="1">
      <c r="A282" s="93" t="s">
        <v>579</v>
      </c>
      <c r="B282" s="74" t="s">
        <v>580</v>
      </c>
      <c r="C282" s="57" t="s">
        <v>581</v>
      </c>
      <c r="D282" s="57" t="s">
        <v>582</v>
      </c>
      <c r="E282" s="57"/>
      <c r="F282" s="57"/>
      <c r="G282" s="57" t="s">
        <v>75</v>
      </c>
      <c r="H282" s="57" t="s">
        <v>153</v>
      </c>
      <c r="I282" s="102" t="s">
        <v>132</v>
      </c>
      <c r="J282" s="59">
        <v>479.99</v>
      </c>
      <c r="K282" s="95">
        <v>365.76</v>
      </c>
      <c r="L282" s="96">
        <f t="shared" ref="L282:L284" si="13">IF(J282&gt;0,(J282-K282)/J282,"")</f>
        <v>0.2379841247</v>
      </c>
      <c r="M282" s="97"/>
    </row>
    <row r="283" ht="21.75" customHeight="1">
      <c r="A283" s="98" t="s">
        <v>583</v>
      </c>
      <c r="B283" s="78" t="s">
        <v>584</v>
      </c>
      <c r="C283" s="51"/>
      <c r="D283" s="51" t="s">
        <v>582</v>
      </c>
      <c r="E283" s="51"/>
      <c r="F283" s="51"/>
      <c r="G283" s="51" t="s">
        <v>75</v>
      </c>
      <c r="H283" s="51" t="s">
        <v>153</v>
      </c>
      <c r="I283" s="102" t="s">
        <v>132</v>
      </c>
      <c r="J283" s="53">
        <v>1196.0</v>
      </c>
      <c r="K283" s="95">
        <v>1196.0</v>
      </c>
      <c r="L283" s="100">
        <f t="shared" si="13"/>
        <v>0</v>
      </c>
      <c r="M283" s="101"/>
    </row>
    <row r="284" ht="21.75" customHeight="1">
      <c r="A284" s="93" t="s">
        <v>585</v>
      </c>
      <c r="B284" s="74" t="s">
        <v>584</v>
      </c>
      <c r="C284" s="57"/>
      <c r="D284" s="57" t="s">
        <v>582</v>
      </c>
      <c r="E284" s="57"/>
      <c r="F284" s="57"/>
      <c r="G284" s="57" t="s">
        <v>75</v>
      </c>
      <c r="H284" s="57" t="s">
        <v>153</v>
      </c>
      <c r="I284" s="102" t="s">
        <v>132</v>
      </c>
      <c r="J284" s="59">
        <v>1196.0</v>
      </c>
      <c r="K284" s="95">
        <v>1196.0</v>
      </c>
      <c r="L284" s="96">
        <f t="shared" si="13"/>
        <v>0</v>
      </c>
      <c r="M284" s="97"/>
    </row>
    <row r="285" ht="24.0" customHeight="1">
      <c r="A285" s="92" t="s">
        <v>586</v>
      </c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5"/>
    </row>
    <row r="286" ht="21.75" customHeight="1">
      <c r="A286" s="98" t="s">
        <v>587</v>
      </c>
      <c r="B286" s="78" t="s">
        <v>588</v>
      </c>
      <c r="C286" s="51" t="s">
        <v>151</v>
      </c>
      <c r="D286" s="51" t="s">
        <v>589</v>
      </c>
      <c r="E286" s="51"/>
      <c r="F286" s="51"/>
      <c r="G286" s="51" t="s">
        <v>75</v>
      </c>
      <c r="H286" s="51" t="s">
        <v>153</v>
      </c>
      <c r="I286" s="99" t="s">
        <v>81</v>
      </c>
      <c r="J286" s="53">
        <v>590.0</v>
      </c>
      <c r="K286" s="95">
        <v>419.0</v>
      </c>
      <c r="L286" s="100">
        <f t="shared" ref="L286:L291" si="14">IF(J286&gt;0,(J286-K286)/J286,"")</f>
        <v>0.2898305085</v>
      </c>
      <c r="M286" s="101"/>
    </row>
    <row r="287" ht="21.75" customHeight="1">
      <c r="A287" s="93" t="s">
        <v>590</v>
      </c>
      <c r="B287" s="74" t="s">
        <v>588</v>
      </c>
      <c r="C287" s="57" t="s">
        <v>151</v>
      </c>
      <c r="D287" s="57" t="s">
        <v>589</v>
      </c>
      <c r="E287" s="57"/>
      <c r="F287" s="57"/>
      <c r="G287" s="57" t="s">
        <v>75</v>
      </c>
      <c r="H287" s="57" t="s">
        <v>153</v>
      </c>
      <c r="I287" s="99" t="s">
        <v>81</v>
      </c>
      <c r="J287" s="59">
        <v>590.0</v>
      </c>
      <c r="K287" s="95">
        <v>419.0</v>
      </c>
      <c r="L287" s="96">
        <f t="shared" si="14"/>
        <v>0.2898305085</v>
      </c>
      <c r="M287" s="97"/>
    </row>
    <row r="288" ht="21.75" customHeight="1">
      <c r="A288" s="98" t="s">
        <v>591</v>
      </c>
      <c r="B288" s="78" t="s">
        <v>588</v>
      </c>
      <c r="C288" s="51" t="s">
        <v>151</v>
      </c>
      <c r="D288" s="51" t="s">
        <v>589</v>
      </c>
      <c r="E288" s="51"/>
      <c r="F288" s="51"/>
      <c r="G288" s="51" t="s">
        <v>75</v>
      </c>
      <c r="H288" s="51" t="s">
        <v>153</v>
      </c>
      <c r="I288" s="99" t="s">
        <v>81</v>
      </c>
      <c r="J288" s="53">
        <v>590.0</v>
      </c>
      <c r="K288" s="95">
        <v>419.0</v>
      </c>
      <c r="L288" s="100">
        <f t="shared" si="14"/>
        <v>0.2898305085</v>
      </c>
      <c r="M288" s="101"/>
    </row>
    <row r="289" ht="21.75" customHeight="1">
      <c r="A289" s="93" t="s">
        <v>592</v>
      </c>
      <c r="B289" s="74" t="s">
        <v>588</v>
      </c>
      <c r="C289" s="57" t="s">
        <v>151</v>
      </c>
      <c r="D289" s="57" t="s">
        <v>589</v>
      </c>
      <c r="E289" s="57"/>
      <c r="F289" s="57"/>
      <c r="G289" s="57" t="s">
        <v>75</v>
      </c>
      <c r="H289" s="57" t="s">
        <v>153</v>
      </c>
      <c r="I289" s="99" t="s">
        <v>81</v>
      </c>
      <c r="J289" s="59">
        <v>590.0</v>
      </c>
      <c r="K289" s="95">
        <v>419.0</v>
      </c>
      <c r="L289" s="96">
        <f t="shared" si="14"/>
        <v>0.2898305085</v>
      </c>
      <c r="M289" s="97"/>
    </row>
    <row r="290" ht="21.75" customHeight="1">
      <c r="A290" s="98" t="s">
        <v>593</v>
      </c>
      <c r="B290" s="78" t="s">
        <v>588</v>
      </c>
      <c r="C290" s="51" t="s">
        <v>151</v>
      </c>
      <c r="D290" s="51" t="s">
        <v>589</v>
      </c>
      <c r="E290" s="51"/>
      <c r="F290" s="51"/>
      <c r="G290" s="51" t="s">
        <v>75</v>
      </c>
      <c r="H290" s="51" t="s">
        <v>153</v>
      </c>
      <c r="I290" s="99" t="s">
        <v>81</v>
      </c>
      <c r="J290" s="53">
        <v>590.0</v>
      </c>
      <c r="K290" s="95">
        <v>419.0</v>
      </c>
      <c r="L290" s="100">
        <f t="shared" si="14"/>
        <v>0.2898305085</v>
      </c>
      <c r="M290" s="101"/>
    </row>
    <row r="291" ht="21.75" customHeight="1">
      <c r="A291" s="93" t="s">
        <v>594</v>
      </c>
      <c r="B291" s="74" t="s">
        <v>588</v>
      </c>
      <c r="C291" s="57" t="s">
        <v>151</v>
      </c>
      <c r="D291" s="57" t="s">
        <v>589</v>
      </c>
      <c r="E291" s="57"/>
      <c r="F291" s="57"/>
      <c r="G291" s="57" t="s">
        <v>75</v>
      </c>
      <c r="H291" s="57" t="s">
        <v>153</v>
      </c>
      <c r="I291" s="99" t="s">
        <v>81</v>
      </c>
      <c r="J291" s="59">
        <v>590.0</v>
      </c>
      <c r="K291" s="95">
        <v>419.0</v>
      </c>
      <c r="L291" s="96">
        <f t="shared" si="14"/>
        <v>0.2898305085</v>
      </c>
      <c r="M291" s="97"/>
    </row>
    <row r="292" ht="24.0" customHeight="1">
      <c r="A292" s="92" t="s">
        <v>595</v>
      </c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5"/>
    </row>
    <row r="293" ht="21.75" customHeight="1">
      <c r="A293" s="98" t="s">
        <v>596</v>
      </c>
      <c r="B293" s="78" t="s">
        <v>597</v>
      </c>
      <c r="C293" s="51"/>
      <c r="D293" s="51" t="s">
        <v>598</v>
      </c>
      <c r="E293" s="51"/>
      <c r="F293" s="51"/>
      <c r="G293" s="51" t="s">
        <v>75</v>
      </c>
      <c r="H293" s="51" t="s">
        <v>153</v>
      </c>
      <c r="I293" s="99" t="s">
        <v>81</v>
      </c>
      <c r="J293" s="53">
        <v>799.0</v>
      </c>
      <c r="K293" s="95">
        <v>449.0</v>
      </c>
      <c r="L293" s="100">
        <f>IF(J293&gt;0,(J293-K293)/J293,"")</f>
        <v>0.4380475594</v>
      </c>
      <c r="M293" s="101"/>
    </row>
    <row r="294" ht="15.75" customHeight="1">
      <c r="G294" s="56"/>
      <c r="H294" s="56"/>
      <c r="I294" s="56"/>
    </row>
    <row r="295" ht="25.5" customHeight="1">
      <c r="A295" s="103" t="s">
        <v>599</v>
      </c>
      <c r="B295" s="104"/>
      <c r="C295" s="104"/>
      <c r="D295" s="104"/>
      <c r="E295" s="104"/>
      <c r="F295" s="105"/>
      <c r="G295" s="106"/>
      <c r="H295" s="106"/>
      <c r="I295" s="106"/>
      <c r="J295" s="107">
        <v>267650.99</v>
      </c>
      <c r="K295" s="106"/>
      <c r="L295" s="106"/>
      <c r="M295" s="106"/>
    </row>
    <row r="296" ht="15.75" customHeight="1">
      <c r="G296" s="56"/>
      <c r="H296" s="56"/>
      <c r="I296" s="56"/>
    </row>
    <row r="297" ht="18.0" customHeight="1">
      <c r="A297" s="32" t="s">
        <v>72</v>
      </c>
    </row>
    <row r="298" ht="15.75" customHeight="1">
      <c r="G298" s="56"/>
      <c r="H298" s="56"/>
      <c r="I298" s="56"/>
    </row>
    <row r="299" ht="15.75" customHeight="1">
      <c r="G299" s="56"/>
      <c r="H299" s="56"/>
      <c r="I299" s="56"/>
    </row>
    <row r="300" ht="15.75" customHeight="1">
      <c r="G300" s="56"/>
      <c r="H300" s="56"/>
      <c r="I300" s="56"/>
    </row>
    <row r="301" ht="15.75" customHeight="1">
      <c r="G301" s="56"/>
      <c r="H301" s="56"/>
      <c r="I301" s="56"/>
    </row>
    <row r="302" ht="15.75" customHeight="1">
      <c r="G302" s="56"/>
      <c r="H302" s="56"/>
      <c r="I302" s="56"/>
    </row>
    <row r="303" ht="15.75" customHeight="1">
      <c r="G303" s="56"/>
      <c r="H303" s="56"/>
      <c r="I303" s="56"/>
    </row>
    <row r="304" ht="15.75" customHeight="1">
      <c r="G304" s="56"/>
      <c r="H304" s="56"/>
      <c r="I304" s="56"/>
    </row>
    <row r="305" ht="15.75" customHeight="1">
      <c r="G305" s="56"/>
      <c r="H305" s="56"/>
      <c r="I305" s="56"/>
    </row>
    <row r="306" ht="15.75" customHeight="1">
      <c r="G306" s="56"/>
      <c r="H306" s="56"/>
      <c r="I306" s="56"/>
    </row>
    <row r="307" ht="15.75" customHeight="1">
      <c r="G307" s="56"/>
      <c r="H307" s="56"/>
      <c r="I307" s="56"/>
    </row>
    <row r="308" ht="15.75" customHeight="1">
      <c r="G308" s="56"/>
      <c r="H308" s="56"/>
      <c r="I308" s="56"/>
    </row>
    <row r="309" ht="15.75" customHeight="1">
      <c r="G309" s="56"/>
      <c r="H309" s="56"/>
      <c r="I309" s="56"/>
    </row>
    <row r="310" ht="15.75" customHeight="1">
      <c r="G310" s="56"/>
      <c r="H310" s="56"/>
      <c r="I310" s="56"/>
    </row>
    <row r="311" ht="15.75" customHeight="1">
      <c r="G311" s="56"/>
      <c r="H311" s="56"/>
      <c r="I311" s="56"/>
    </row>
    <row r="312" ht="15.75" customHeight="1">
      <c r="G312" s="56"/>
      <c r="H312" s="56"/>
      <c r="I312" s="56"/>
    </row>
    <row r="313" ht="15.75" customHeight="1">
      <c r="G313" s="56"/>
      <c r="H313" s="56"/>
      <c r="I313" s="56"/>
    </row>
    <row r="314" ht="15.75" customHeight="1">
      <c r="G314" s="56"/>
      <c r="H314" s="56"/>
      <c r="I314" s="56"/>
    </row>
    <row r="315" ht="15.75" customHeight="1">
      <c r="G315" s="56"/>
      <c r="H315" s="56"/>
      <c r="I315" s="56"/>
    </row>
    <row r="316" ht="15.75" customHeight="1">
      <c r="G316" s="56"/>
      <c r="H316" s="56"/>
      <c r="I316" s="56"/>
    </row>
    <row r="317" ht="15.75" customHeight="1">
      <c r="G317" s="56"/>
      <c r="H317" s="56"/>
      <c r="I317" s="56"/>
    </row>
    <row r="318" ht="15.75" customHeight="1">
      <c r="G318" s="56"/>
      <c r="H318" s="56"/>
      <c r="I318" s="56"/>
    </row>
    <row r="319" ht="15.75" customHeight="1">
      <c r="G319" s="56"/>
      <c r="H319" s="56"/>
      <c r="I319" s="56"/>
    </row>
    <row r="320" ht="15.75" customHeight="1">
      <c r="G320" s="56"/>
      <c r="H320" s="56"/>
      <c r="I320" s="56"/>
    </row>
    <row r="321" ht="15.75" customHeight="1">
      <c r="G321" s="56"/>
      <c r="H321" s="56"/>
      <c r="I321" s="56"/>
    </row>
    <row r="322" ht="15.75" customHeight="1">
      <c r="G322" s="56"/>
      <c r="H322" s="56"/>
      <c r="I322" s="56"/>
    </row>
    <row r="323" ht="15.75" customHeight="1">
      <c r="G323" s="56"/>
      <c r="H323" s="56"/>
      <c r="I323" s="56"/>
    </row>
    <row r="324" ht="15.75" customHeight="1">
      <c r="G324" s="56"/>
      <c r="H324" s="56"/>
      <c r="I324" s="56"/>
    </row>
    <row r="325" ht="15.75" customHeight="1">
      <c r="G325" s="56"/>
      <c r="H325" s="56"/>
      <c r="I325" s="56"/>
    </row>
    <row r="326" ht="15.75" customHeight="1">
      <c r="G326" s="56"/>
      <c r="H326" s="56"/>
      <c r="I326" s="56"/>
    </row>
    <row r="327" ht="15.75" customHeight="1">
      <c r="G327" s="56"/>
      <c r="H327" s="56"/>
      <c r="I327" s="56"/>
    </row>
    <row r="328" ht="15.75" customHeight="1">
      <c r="G328" s="56"/>
      <c r="H328" s="56"/>
      <c r="I328" s="56"/>
    </row>
    <row r="329" ht="15.75" customHeight="1">
      <c r="G329" s="56"/>
      <c r="H329" s="56"/>
      <c r="I329" s="56"/>
    </row>
    <row r="330" ht="15.75" customHeight="1">
      <c r="G330" s="56"/>
      <c r="H330" s="56"/>
      <c r="I330" s="56"/>
    </row>
    <row r="331" ht="15.75" customHeight="1">
      <c r="G331" s="56"/>
      <c r="H331" s="56"/>
      <c r="I331" s="56"/>
    </row>
    <row r="332" ht="15.75" customHeight="1">
      <c r="G332" s="56"/>
      <c r="H332" s="56"/>
      <c r="I332" s="56"/>
    </row>
    <row r="333" ht="15.75" customHeight="1">
      <c r="G333" s="56"/>
      <c r="H333" s="56"/>
      <c r="I333" s="56"/>
    </row>
    <row r="334" ht="15.75" customHeight="1">
      <c r="G334" s="56"/>
      <c r="H334" s="56"/>
      <c r="I334" s="56"/>
    </row>
    <row r="335" ht="15.75" customHeight="1">
      <c r="G335" s="56"/>
      <c r="H335" s="56"/>
      <c r="I335" s="56"/>
    </row>
    <row r="336" ht="15.75" customHeight="1">
      <c r="G336" s="56"/>
      <c r="H336" s="56"/>
      <c r="I336" s="56"/>
    </row>
    <row r="337" ht="15.75" customHeight="1">
      <c r="G337" s="56"/>
      <c r="H337" s="56"/>
      <c r="I337" s="56"/>
    </row>
    <row r="338" ht="15.75" customHeight="1">
      <c r="G338" s="56"/>
      <c r="H338" s="56"/>
      <c r="I338" s="56"/>
    </row>
    <row r="339" ht="15.75" customHeight="1">
      <c r="G339" s="56"/>
      <c r="H339" s="56"/>
      <c r="I339" s="56"/>
    </row>
    <row r="340" ht="15.75" customHeight="1">
      <c r="G340" s="56"/>
      <c r="H340" s="56"/>
      <c r="I340" s="56"/>
    </row>
    <row r="341" ht="15.75" customHeight="1">
      <c r="G341" s="56"/>
      <c r="H341" s="56"/>
      <c r="I341" s="56"/>
    </row>
    <row r="342" ht="15.75" customHeight="1">
      <c r="G342" s="56"/>
      <c r="H342" s="56"/>
      <c r="I342" s="56"/>
    </row>
    <row r="343" ht="15.75" customHeight="1">
      <c r="G343" s="56"/>
      <c r="H343" s="56"/>
      <c r="I343" s="56"/>
    </row>
    <row r="344" ht="15.75" customHeight="1">
      <c r="G344" s="56"/>
      <c r="H344" s="56"/>
      <c r="I344" s="56"/>
    </row>
    <row r="345" ht="15.75" customHeight="1">
      <c r="G345" s="56"/>
      <c r="H345" s="56"/>
      <c r="I345" s="56"/>
    </row>
    <row r="346" ht="15.75" customHeight="1">
      <c r="G346" s="56"/>
      <c r="H346" s="56"/>
      <c r="I346" s="56"/>
    </row>
    <row r="347" ht="15.75" customHeight="1">
      <c r="G347" s="56"/>
      <c r="H347" s="56"/>
      <c r="I347" s="56"/>
    </row>
    <row r="348" ht="15.75" customHeight="1">
      <c r="G348" s="56"/>
      <c r="H348" s="56"/>
      <c r="I348" s="56"/>
    </row>
    <row r="349" ht="15.75" customHeight="1">
      <c r="G349" s="56"/>
      <c r="H349" s="56"/>
      <c r="I349" s="56"/>
    </row>
    <row r="350" ht="15.75" customHeight="1">
      <c r="G350" s="56"/>
      <c r="H350" s="56"/>
      <c r="I350" s="56"/>
    </row>
    <row r="351" ht="15.75" customHeight="1">
      <c r="G351" s="56"/>
      <c r="H351" s="56"/>
      <c r="I351" s="56"/>
    </row>
    <row r="352" ht="15.75" customHeight="1">
      <c r="G352" s="56"/>
      <c r="H352" s="56"/>
      <c r="I352" s="56"/>
    </row>
    <row r="353" ht="15.75" customHeight="1">
      <c r="G353" s="56"/>
      <c r="H353" s="56"/>
      <c r="I353" s="56"/>
    </row>
    <row r="354" ht="15.75" customHeight="1">
      <c r="G354" s="56"/>
      <c r="H354" s="56"/>
      <c r="I354" s="56"/>
    </row>
    <row r="355" ht="15.75" customHeight="1">
      <c r="G355" s="56"/>
      <c r="H355" s="56"/>
      <c r="I355" s="56"/>
    </row>
    <row r="356" ht="15.75" customHeight="1">
      <c r="G356" s="56"/>
      <c r="H356" s="56"/>
      <c r="I356" s="56"/>
    </row>
    <row r="357" ht="15.75" customHeight="1">
      <c r="G357" s="56"/>
      <c r="H357" s="56"/>
      <c r="I357" s="56"/>
    </row>
    <row r="358" ht="15.75" customHeight="1">
      <c r="G358" s="56"/>
      <c r="H358" s="56"/>
      <c r="I358" s="56"/>
    </row>
    <row r="359" ht="15.75" customHeight="1">
      <c r="G359" s="56"/>
      <c r="H359" s="56"/>
      <c r="I359" s="56"/>
    </row>
    <row r="360" ht="15.75" customHeight="1">
      <c r="G360" s="56"/>
      <c r="H360" s="56"/>
      <c r="I360" s="56"/>
    </row>
    <row r="361" ht="15.75" customHeight="1">
      <c r="G361" s="56"/>
      <c r="H361" s="56"/>
      <c r="I361" s="56"/>
    </row>
    <row r="362" ht="15.75" customHeight="1">
      <c r="G362" s="56"/>
      <c r="H362" s="56"/>
      <c r="I362" s="56"/>
    </row>
    <row r="363" ht="15.75" customHeight="1">
      <c r="G363" s="56"/>
      <c r="H363" s="56"/>
      <c r="I363" s="56"/>
    </row>
    <row r="364" ht="15.75" customHeight="1">
      <c r="G364" s="56"/>
      <c r="H364" s="56"/>
      <c r="I364" s="56"/>
    </row>
    <row r="365" ht="15.75" customHeight="1">
      <c r="G365" s="56"/>
      <c r="H365" s="56"/>
      <c r="I365" s="56"/>
    </row>
    <row r="366" ht="15.75" customHeight="1">
      <c r="G366" s="56"/>
      <c r="H366" s="56"/>
      <c r="I366" s="56"/>
    </row>
    <row r="367" ht="15.75" customHeight="1">
      <c r="G367" s="56"/>
      <c r="H367" s="56"/>
      <c r="I367" s="56"/>
    </row>
    <row r="368" ht="15.75" customHeight="1">
      <c r="G368" s="56"/>
      <c r="H368" s="56"/>
      <c r="I368" s="56"/>
    </row>
    <row r="369" ht="15.75" customHeight="1">
      <c r="G369" s="56"/>
      <c r="H369" s="56"/>
      <c r="I369" s="56"/>
    </row>
    <row r="370" ht="15.75" customHeight="1">
      <c r="G370" s="56"/>
      <c r="H370" s="56"/>
      <c r="I370" s="56"/>
    </row>
    <row r="371" ht="15.75" customHeight="1">
      <c r="G371" s="56"/>
      <c r="H371" s="56"/>
      <c r="I371" s="56"/>
    </row>
    <row r="372" ht="15.75" customHeight="1">
      <c r="G372" s="56"/>
      <c r="H372" s="56"/>
      <c r="I372" s="56"/>
    </row>
    <row r="373" ht="15.75" customHeight="1">
      <c r="G373" s="56"/>
      <c r="H373" s="56"/>
      <c r="I373" s="56"/>
    </row>
    <row r="374" ht="15.75" customHeight="1">
      <c r="G374" s="56"/>
      <c r="H374" s="56"/>
      <c r="I374" s="56"/>
    </row>
    <row r="375" ht="15.75" customHeight="1">
      <c r="G375" s="56"/>
      <c r="H375" s="56"/>
      <c r="I375" s="56"/>
    </row>
    <row r="376" ht="15.75" customHeight="1">
      <c r="G376" s="56"/>
      <c r="H376" s="56"/>
      <c r="I376" s="56"/>
    </row>
    <row r="377" ht="15.75" customHeight="1">
      <c r="G377" s="56"/>
      <c r="H377" s="56"/>
      <c r="I377" s="56"/>
    </row>
    <row r="378" ht="15.75" customHeight="1">
      <c r="G378" s="56"/>
      <c r="H378" s="56"/>
      <c r="I378" s="56"/>
    </row>
    <row r="379" ht="15.75" customHeight="1">
      <c r="G379" s="56"/>
      <c r="H379" s="56"/>
      <c r="I379" s="56"/>
    </row>
    <row r="380" ht="15.75" customHeight="1">
      <c r="G380" s="56"/>
      <c r="H380" s="56"/>
      <c r="I380" s="56"/>
    </row>
    <row r="381" ht="15.75" customHeight="1">
      <c r="G381" s="56"/>
      <c r="H381" s="56"/>
      <c r="I381" s="56"/>
    </row>
    <row r="382" ht="15.75" customHeight="1">
      <c r="G382" s="56"/>
      <c r="H382" s="56"/>
      <c r="I382" s="56"/>
    </row>
    <row r="383" ht="15.75" customHeight="1">
      <c r="G383" s="56"/>
      <c r="H383" s="56"/>
      <c r="I383" s="56"/>
    </row>
    <row r="384" ht="15.75" customHeight="1">
      <c r="G384" s="56"/>
      <c r="H384" s="56"/>
      <c r="I384" s="56"/>
    </row>
    <row r="385" ht="15.75" customHeight="1">
      <c r="G385" s="56"/>
      <c r="H385" s="56"/>
      <c r="I385" s="56"/>
    </row>
    <row r="386" ht="15.75" customHeight="1">
      <c r="G386" s="56"/>
      <c r="H386" s="56"/>
      <c r="I386" s="56"/>
    </row>
    <row r="387" ht="15.75" customHeight="1">
      <c r="G387" s="56"/>
      <c r="H387" s="56"/>
      <c r="I387" s="56"/>
    </row>
    <row r="388" ht="15.75" customHeight="1">
      <c r="G388" s="56"/>
      <c r="H388" s="56"/>
      <c r="I388" s="56"/>
    </row>
    <row r="389" ht="15.75" customHeight="1">
      <c r="G389" s="56"/>
      <c r="H389" s="56"/>
      <c r="I389" s="56"/>
    </row>
    <row r="390" ht="15.75" customHeight="1">
      <c r="G390" s="56"/>
      <c r="H390" s="56"/>
      <c r="I390" s="56"/>
    </row>
    <row r="391" ht="15.75" customHeight="1">
      <c r="G391" s="56"/>
      <c r="H391" s="56"/>
      <c r="I391" s="56"/>
    </row>
    <row r="392" ht="15.75" customHeight="1">
      <c r="G392" s="56"/>
      <c r="H392" s="56"/>
      <c r="I392" s="56"/>
    </row>
    <row r="393" ht="15.75" customHeight="1">
      <c r="G393" s="56"/>
      <c r="H393" s="56"/>
      <c r="I393" s="56"/>
    </row>
    <row r="394" ht="15.75" customHeight="1">
      <c r="G394" s="56"/>
      <c r="H394" s="56"/>
      <c r="I394" s="56"/>
    </row>
    <row r="395" ht="15.75" customHeight="1">
      <c r="G395" s="56"/>
      <c r="H395" s="56"/>
      <c r="I395" s="56"/>
    </row>
    <row r="396" ht="15.75" customHeight="1">
      <c r="G396" s="56"/>
      <c r="H396" s="56"/>
      <c r="I396" s="56"/>
    </row>
    <row r="397" ht="15.75" customHeight="1">
      <c r="G397" s="56"/>
      <c r="H397" s="56"/>
      <c r="I397" s="56"/>
    </row>
    <row r="398" ht="15.75" customHeight="1">
      <c r="G398" s="56"/>
      <c r="H398" s="56"/>
      <c r="I398" s="56"/>
    </row>
    <row r="399" ht="15.75" customHeight="1">
      <c r="G399" s="56"/>
      <c r="H399" s="56"/>
      <c r="I399" s="56"/>
    </row>
    <row r="400" ht="15.75" customHeight="1">
      <c r="G400" s="56"/>
      <c r="H400" s="56"/>
      <c r="I400" s="56"/>
    </row>
    <row r="401" ht="15.75" customHeight="1">
      <c r="G401" s="56"/>
      <c r="H401" s="56"/>
      <c r="I401" s="56"/>
    </row>
    <row r="402" ht="15.75" customHeight="1">
      <c r="G402" s="56"/>
      <c r="H402" s="56"/>
      <c r="I402" s="56"/>
    </row>
    <row r="403" ht="15.75" customHeight="1">
      <c r="G403" s="56"/>
      <c r="H403" s="56"/>
      <c r="I403" s="56"/>
    </row>
    <row r="404" ht="15.75" customHeight="1">
      <c r="G404" s="56"/>
      <c r="H404" s="56"/>
      <c r="I404" s="56"/>
    </row>
    <row r="405" ht="15.75" customHeight="1">
      <c r="G405" s="56"/>
      <c r="H405" s="56"/>
      <c r="I405" s="56"/>
    </row>
    <row r="406" ht="15.75" customHeight="1">
      <c r="G406" s="56"/>
      <c r="H406" s="56"/>
      <c r="I406" s="56"/>
    </row>
    <row r="407" ht="15.75" customHeight="1">
      <c r="G407" s="56"/>
      <c r="H407" s="56"/>
      <c r="I407" s="56"/>
    </row>
    <row r="408" ht="15.75" customHeight="1">
      <c r="G408" s="56"/>
      <c r="H408" s="56"/>
      <c r="I408" s="56"/>
    </row>
    <row r="409" ht="15.75" customHeight="1">
      <c r="G409" s="56"/>
      <c r="H409" s="56"/>
      <c r="I409" s="56"/>
    </row>
    <row r="410" ht="15.75" customHeight="1">
      <c r="G410" s="56"/>
      <c r="H410" s="56"/>
      <c r="I410" s="56"/>
    </row>
    <row r="411" ht="15.75" customHeight="1">
      <c r="G411" s="56"/>
      <c r="H411" s="56"/>
      <c r="I411" s="56"/>
    </row>
    <row r="412" ht="15.75" customHeight="1">
      <c r="G412" s="56"/>
      <c r="H412" s="56"/>
      <c r="I412" s="56"/>
    </row>
    <row r="413" ht="15.75" customHeight="1">
      <c r="G413" s="56"/>
      <c r="H413" s="56"/>
      <c r="I413" s="56"/>
    </row>
    <row r="414" ht="15.75" customHeight="1">
      <c r="G414" s="56"/>
      <c r="H414" s="56"/>
      <c r="I414" s="56"/>
    </row>
    <row r="415" ht="15.75" customHeight="1">
      <c r="G415" s="56"/>
      <c r="H415" s="56"/>
      <c r="I415" s="56"/>
    </row>
    <row r="416" ht="15.75" customHeight="1">
      <c r="G416" s="56"/>
      <c r="H416" s="56"/>
      <c r="I416" s="56"/>
    </row>
    <row r="417" ht="15.75" customHeight="1">
      <c r="G417" s="56"/>
      <c r="H417" s="56"/>
      <c r="I417" s="56"/>
    </row>
    <row r="418" ht="15.75" customHeight="1">
      <c r="G418" s="56"/>
      <c r="H418" s="56"/>
      <c r="I418" s="56"/>
    </row>
    <row r="419" ht="15.75" customHeight="1">
      <c r="G419" s="56"/>
      <c r="H419" s="56"/>
      <c r="I419" s="56"/>
    </row>
    <row r="420" ht="15.75" customHeight="1">
      <c r="G420" s="56"/>
      <c r="H420" s="56"/>
      <c r="I420" s="56"/>
    </row>
    <row r="421" ht="15.75" customHeight="1">
      <c r="G421" s="56"/>
      <c r="H421" s="56"/>
      <c r="I421" s="56"/>
    </row>
    <row r="422" ht="15.75" customHeight="1">
      <c r="G422" s="56"/>
      <c r="H422" s="56"/>
      <c r="I422" s="56"/>
    </row>
    <row r="423" ht="15.75" customHeight="1">
      <c r="G423" s="56"/>
      <c r="H423" s="56"/>
      <c r="I423" s="56"/>
    </row>
    <row r="424" ht="15.75" customHeight="1">
      <c r="G424" s="56"/>
      <c r="H424" s="56"/>
      <c r="I424" s="56"/>
    </row>
    <row r="425" ht="15.75" customHeight="1">
      <c r="G425" s="56"/>
      <c r="H425" s="56"/>
      <c r="I425" s="56"/>
    </row>
    <row r="426" ht="15.75" customHeight="1">
      <c r="G426" s="56"/>
      <c r="H426" s="56"/>
      <c r="I426" s="56"/>
    </row>
    <row r="427" ht="15.75" customHeight="1">
      <c r="G427" s="56"/>
      <c r="H427" s="56"/>
      <c r="I427" s="56"/>
    </row>
    <row r="428" ht="15.75" customHeight="1">
      <c r="G428" s="56"/>
      <c r="H428" s="56"/>
      <c r="I428" s="56"/>
    </row>
    <row r="429" ht="15.75" customHeight="1">
      <c r="G429" s="56"/>
      <c r="H429" s="56"/>
      <c r="I429" s="56"/>
    </row>
    <row r="430" ht="15.75" customHeight="1">
      <c r="G430" s="56"/>
      <c r="H430" s="56"/>
      <c r="I430" s="56"/>
    </row>
    <row r="431" ht="15.75" customHeight="1">
      <c r="G431" s="56"/>
      <c r="H431" s="56"/>
      <c r="I431" s="56"/>
    </row>
    <row r="432" ht="15.75" customHeight="1">
      <c r="G432" s="56"/>
      <c r="H432" s="56"/>
      <c r="I432" s="56"/>
    </row>
    <row r="433" ht="15.75" customHeight="1">
      <c r="G433" s="56"/>
      <c r="H433" s="56"/>
      <c r="I433" s="56"/>
    </row>
    <row r="434" ht="15.75" customHeight="1">
      <c r="G434" s="56"/>
      <c r="H434" s="56"/>
      <c r="I434" s="56"/>
    </row>
    <row r="435" ht="15.75" customHeight="1">
      <c r="G435" s="56"/>
      <c r="H435" s="56"/>
      <c r="I435" s="56"/>
    </row>
    <row r="436" ht="15.75" customHeight="1">
      <c r="G436" s="56"/>
      <c r="H436" s="56"/>
      <c r="I436" s="56"/>
    </row>
    <row r="437" ht="15.75" customHeight="1">
      <c r="G437" s="56"/>
      <c r="H437" s="56"/>
      <c r="I437" s="56"/>
    </row>
    <row r="438" ht="15.75" customHeight="1">
      <c r="G438" s="56"/>
      <c r="H438" s="56"/>
      <c r="I438" s="56"/>
    </row>
    <row r="439" ht="15.75" customHeight="1">
      <c r="G439" s="56"/>
      <c r="H439" s="56"/>
      <c r="I439" s="56"/>
    </row>
    <row r="440" ht="15.75" customHeight="1">
      <c r="G440" s="56"/>
      <c r="H440" s="56"/>
      <c r="I440" s="56"/>
    </row>
    <row r="441" ht="15.75" customHeight="1">
      <c r="G441" s="56"/>
      <c r="H441" s="56"/>
      <c r="I441" s="56"/>
    </row>
    <row r="442" ht="15.75" customHeight="1">
      <c r="G442" s="56"/>
      <c r="H442" s="56"/>
      <c r="I442" s="56"/>
    </row>
    <row r="443" ht="15.75" customHeight="1">
      <c r="G443" s="56"/>
      <c r="H443" s="56"/>
      <c r="I443" s="56"/>
    </row>
    <row r="444" ht="15.75" customHeight="1">
      <c r="G444" s="56"/>
      <c r="H444" s="56"/>
      <c r="I444" s="56"/>
    </row>
    <row r="445" ht="15.75" customHeight="1">
      <c r="G445" s="56"/>
      <c r="H445" s="56"/>
      <c r="I445" s="56"/>
    </row>
    <row r="446" ht="15.75" customHeight="1">
      <c r="G446" s="56"/>
      <c r="H446" s="56"/>
      <c r="I446" s="56"/>
    </row>
    <row r="447" ht="15.75" customHeight="1">
      <c r="G447" s="56"/>
      <c r="H447" s="56"/>
      <c r="I447" s="56"/>
    </row>
    <row r="448" ht="15.75" customHeight="1">
      <c r="G448" s="56"/>
      <c r="H448" s="56"/>
      <c r="I448" s="56"/>
    </row>
    <row r="449" ht="15.75" customHeight="1">
      <c r="G449" s="56"/>
      <c r="H449" s="56"/>
      <c r="I449" s="56"/>
    </row>
    <row r="450" ht="15.75" customHeight="1">
      <c r="G450" s="56"/>
      <c r="H450" s="56"/>
      <c r="I450" s="56"/>
    </row>
    <row r="451" ht="15.75" customHeight="1">
      <c r="G451" s="56"/>
      <c r="H451" s="56"/>
      <c r="I451" s="56"/>
    </row>
    <row r="452" ht="15.75" customHeight="1">
      <c r="G452" s="56"/>
      <c r="H452" s="56"/>
      <c r="I452" s="56"/>
    </row>
    <row r="453" ht="15.75" customHeight="1">
      <c r="G453" s="56"/>
      <c r="H453" s="56"/>
      <c r="I453" s="56"/>
    </row>
    <row r="454" ht="15.75" customHeight="1">
      <c r="G454" s="56"/>
      <c r="H454" s="56"/>
      <c r="I454" s="56"/>
    </row>
    <row r="455" ht="15.75" customHeight="1">
      <c r="G455" s="56"/>
      <c r="H455" s="56"/>
      <c r="I455" s="56"/>
    </row>
    <row r="456" ht="15.75" customHeight="1">
      <c r="G456" s="56"/>
      <c r="H456" s="56"/>
      <c r="I456" s="56"/>
    </row>
    <row r="457" ht="15.75" customHeight="1">
      <c r="G457" s="56"/>
      <c r="H457" s="56"/>
      <c r="I457" s="56"/>
    </row>
    <row r="458" ht="15.75" customHeight="1">
      <c r="G458" s="56"/>
      <c r="H458" s="56"/>
      <c r="I458" s="56"/>
    </row>
    <row r="459" ht="15.75" customHeight="1">
      <c r="G459" s="56"/>
      <c r="H459" s="56"/>
      <c r="I459" s="56"/>
    </row>
    <row r="460" ht="15.75" customHeight="1">
      <c r="G460" s="56"/>
      <c r="H460" s="56"/>
      <c r="I460" s="56"/>
    </row>
    <row r="461" ht="15.75" customHeight="1">
      <c r="G461" s="56"/>
      <c r="H461" s="56"/>
      <c r="I461" s="56"/>
    </row>
    <row r="462" ht="15.75" customHeight="1">
      <c r="G462" s="56"/>
      <c r="H462" s="56"/>
      <c r="I462" s="56"/>
    </row>
    <row r="463" ht="15.75" customHeight="1">
      <c r="G463" s="56"/>
      <c r="H463" s="56"/>
      <c r="I463" s="56"/>
    </row>
    <row r="464" ht="15.75" customHeight="1">
      <c r="G464" s="56"/>
      <c r="H464" s="56"/>
      <c r="I464" s="56"/>
    </row>
    <row r="465" ht="15.75" customHeight="1">
      <c r="G465" s="56"/>
      <c r="H465" s="56"/>
      <c r="I465" s="56"/>
    </row>
    <row r="466" ht="15.75" customHeight="1">
      <c r="G466" s="56"/>
      <c r="H466" s="56"/>
      <c r="I466" s="56"/>
    </row>
    <row r="467" ht="15.75" customHeight="1">
      <c r="G467" s="56"/>
      <c r="H467" s="56"/>
      <c r="I467" s="56"/>
    </row>
    <row r="468" ht="15.75" customHeight="1">
      <c r="G468" s="56"/>
      <c r="H468" s="56"/>
      <c r="I468" s="56"/>
    </row>
    <row r="469" ht="15.75" customHeight="1">
      <c r="G469" s="56"/>
      <c r="H469" s="56"/>
      <c r="I469" s="56"/>
    </row>
    <row r="470" ht="15.75" customHeight="1">
      <c r="G470" s="56"/>
      <c r="H470" s="56"/>
      <c r="I470" s="56"/>
    </row>
    <row r="471" ht="15.75" customHeight="1">
      <c r="G471" s="56"/>
      <c r="H471" s="56"/>
      <c r="I471" s="56"/>
    </row>
    <row r="472" ht="15.75" customHeight="1">
      <c r="G472" s="56"/>
      <c r="H472" s="56"/>
      <c r="I472" s="56"/>
    </row>
    <row r="473" ht="15.75" customHeight="1">
      <c r="G473" s="56"/>
      <c r="H473" s="56"/>
      <c r="I473" s="56"/>
    </row>
    <row r="474" ht="15.75" customHeight="1">
      <c r="G474" s="56"/>
      <c r="H474" s="56"/>
      <c r="I474" s="56"/>
    </row>
    <row r="475" ht="15.75" customHeight="1">
      <c r="G475" s="56"/>
      <c r="H475" s="56"/>
      <c r="I475" s="56"/>
    </row>
    <row r="476" ht="15.75" customHeight="1">
      <c r="G476" s="56"/>
      <c r="H476" s="56"/>
      <c r="I476" s="56"/>
    </row>
    <row r="477" ht="15.75" customHeight="1">
      <c r="G477" s="56"/>
      <c r="H477" s="56"/>
      <c r="I477" s="56"/>
    </row>
    <row r="478" ht="15.75" customHeight="1">
      <c r="G478" s="56"/>
      <c r="H478" s="56"/>
      <c r="I478" s="56"/>
    </row>
    <row r="479" ht="15.75" customHeight="1">
      <c r="G479" s="56"/>
      <c r="H479" s="56"/>
      <c r="I479" s="56"/>
    </row>
    <row r="480" ht="15.75" customHeight="1">
      <c r="G480" s="56"/>
      <c r="H480" s="56"/>
      <c r="I480" s="56"/>
    </row>
    <row r="481" ht="15.75" customHeight="1">
      <c r="G481" s="56"/>
      <c r="H481" s="56"/>
      <c r="I481" s="56"/>
    </row>
    <row r="482" ht="15.75" customHeight="1">
      <c r="G482" s="56"/>
      <c r="H482" s="56"/>
      <c r="I482" s="56"/>
    </row>
    <row r="483" ht="15.75" customHeight="1">
      <c r="G483" s="56"/>
      <c r="H483" s="56"/>
      <c r="I483" s="56"/>
    </row>
    <row r="484" ht="15.75" customHeight="1">
      <c r="G484" s="56"/>
      <c r="H484" s="56"/>
      <c r="I484" s="56"/>
    </row>
    <row r="485" ht="15.75" customHeight="1">
      <c r="G485" s="56"/>
      <c r="H485" s="56"/>
      <c r="I485" s="56"/>
    </row>
    <row r="486" ht="15.75" customHeight="1">
      <c r="G486" s="56"/>
      <c r="H486" s="56"/>
      <c r="I486" s="56"/>
    </row>
    <row r="487" ht="15.75" customHeight="1">
      <c r="G487" s="56"/>
      <c r="H487" s="56"/>
      <c r="I487" s="56"/>
    </row>
    <row r="488" ht="15.75" customHeight="1">
      <c r="G488" s="56"/>
      <c r="H488" s="56"/>
      <c r="I488" s="56"/>
    </row>
    <row r="489" ht="15.75" customHeight="1">
      <c r="G489" s="56"/>
      <c r="H489" s="56"/>
      <c r="I489" s="56"/>
    </row>
    <row r="490" ht="15.75" customHeight="1">
      <c r="G490" s="56"/>
      <c r="H490" s="56"/>
      <c r="I490" s="56"/>
    </row>
    <row r="491" ht="15.75" customHeight="1">
      <c r="G491" s="56"/>
      <c r="H491" s="56"/>
      <c r="I491" s="56"/>
    </row>
    <row r="492" ht="15.75" customHeight="1">
      <c r="G492" s="56"/>
      <c r="H492" s="56"/>
      <c r="I492" s="56"/>
    </row>
    <row r="493" ht="15.75" customHeight="1">
      <c r="G493" s="56"/>
      <c r="H493" s="56"/>
      <c r="I493" s="56"/>
    </row>
    <row r="494" ht="15.75" customHeight="1">
      <c r="G494" s="56"/>
      <c r="H494" s="56"/>
      <c r="I494" s="56"/>
    </row>
    <row r="495" ht="15.75" customHeight="1">
      <c r="G495" s="56"/>
      <c r="H495" s="56"/>
      <c r="I495" s="56"/>
    </row>
    <row r="496" ht="15.75" customHeight="1">
      <c r="G496" s="56"/>
      <c r="H496" s="56"/>
      <c r="I496" s="56"/>
    </row>
    <row r="497" ht="15.75" customHeight="1">
      <c r="G497" s="56"/>
      <c r="H497" s="56"/>
      <c r="I497" s="56"/>
    </row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4"/>
  <mergeCells count="23">
    <mergeCell ref="A1:M1"/>
    <mergeCell ref="A2:M2"/>
    <mergeCell ref="A5:M5"/>
    <mergeCell ref="A12:M12"/>
    <mergeCell ref="A23:M23"/>
    <mergeCell ref="A25:M25"/>
    <mergeCell ref="A27:M27"/>
    <mergeCell ref="A30:M30"/>
    <mergeCell ref="A32:M32"/>
    <mergeCell ref="A70:M70"/>
    <mergeCell ref="A146:M146"/>
    <mergeCell ref="A156:M156"/>
    <mergeCell ref="A158:M158"/>
    <mergeCell ref="A164:M164"/>
    <mergeCell ref="A295:F295"/>
    <mergeCell ref="A297:M297"/>
    <mergeCell ref="A171:M171"/>
    <mergeCell ref="A196:M196"/>
    <mergeCell ref="A273:M273"/>
    <mergeCell ref="A278:M278"/>
    <mergeCell ref="A281:M281"/>
    <mergeCell ref="A285:M285"/>
    <mergeCell ref="A292:M292"/>
  </mergeCells>
  <conditionalFormatting sqref="G5:G1000">
    <cfRule type="cellIs" dxfId="0" priority="1" operator="equal">
      <formula>"DISPONIVEL"</formula>
    </cfRule>
  </conditionalFormatting>
  <conditionalFormatting sqref="G5:G1000">
    <cfRule type="cellIs" dxfId="1" priority="2" operator="equal">
      <formula>"PACKED"</formula>
    </cfRule>
  </conditionalFormatting>
  <conditionalFormatting sqref="G5:G1000">
    <cfRule type="cellIs" dxfId="2" priority="3" operator="equal">
      <formula>"EM_CAMPO"</formula>
    </cfRule>
  </conditionalFormatting>
  <conditionalFormatting sqref="G5:G1000">
    <cfRule type="cellIs" dxfId="3" priority="4" operator="equal">
      <formula>"MANUTENCAO"</formula>
    </cfRule>
  </conditionalFormatting>
  <conditionalFormatting sqref="G5:G1000">
    <cfRule type="cellIs" dxfId="4" priority="5" operator="equal">
      <formula>"EMPRESTADO"</formula>
    </cfRule>
  </conditionalFormatting>
  <conditionalFormatting sqref="G5:G1000">
    <cfRule type="cellIs" dxfId="5" priority="6" operator="equal">
      <formula>"VENDIDO"</formula>
    </cfRule>
  </conditionalFormatting>
  <conditionalFormatting sqref="G5:G1000">
    <cfRule type="cellIs" dxfId="5" priority="7" operator="equal">
      <formula>"BAIXA"</formula>
    </cfRule>
  </conditionalFormatting>
  <conditionalFormatting sqref="H5:H1000">
    <cfRule type="cellIs" dxfId="6" priority="8" operator="equal">
      <formula>"NOVO"</formula>
    </cfRule>
  </conditionalFormatting>
  <conditionalFormatting sqref="H5:H1000">
    <cfRule type="cellIs" dxfId="7" priority="9" operator="equal">
      <formula>"SEMI_NOVO"</formula>
    </cfRule>
  </conditionalFormatting>
  <conditionalFormatting sqref="H5:H1000">
    <cfRule type="cellIs" dxfId="8" priority="10" operator="equal">
      <formula>"USADO"</formula>
    </cfRule>
  </conditionalFormatting>
  <conditionalFormatting sqref="H5:H1000">
    <cfRule type="cellIs" dxfId="9" priority="11" operator="equal">
      <formula>"RECONDICIONADO"</formula>
    </cfRule>
  </conditionalFormatting>
  <conditionalFormatting sqref="I5:I1000">
    <cfRule type="expression" dxfId="10" priority="12">
      <formula>I5="★★★★★"</formula>
    </cfRule>
  </conditionalFormatting>
  <conditionalFormatting sqref="I5:I1000">
    <cfRule type="expression" dxfId="11" priority="13">
      <formula>I5="★★★★☆"</formula>
    </cfRule>
  </conditionalFormatting>
  <conditionalFormatting sqref="I5:I1000">
    <cfRule type="expression" dxfId="12" priority="14">
      <formula>I5="★★★☆☆"</formula>
    </cfRule>
  </conditionalFormatting>
  <conditionalFormatting sqref="I5:I1000">
    <cfRule type="expression" dxfId="13" priority="15">
      <formula>I5="★★☆☆☆"</formula>
    </cfRule>
  </conditionalFormatting>
  <conditionalFormatting sqref="I5:I1000">
    <cfRule type="expression" dxfId="14" priority="16">
      <formula>I5="★☆☆☆☆"</formula>
    </cfRule>
  </conditionalFormatting>
  <conditionalFormatting sqref="L5:L1000">
    <cfRule type="cellIs" dxfId="0" priority="17" operator="lessThan">
      <formula>0.2</formula>
    </cfRule>
  </conditionalFormatting>
  <conditionalFormatting sqref="L5:L1000">
    <cfRule type="cellIs" dxfId="2" priority="18" operator="between">
      <formula>0.2</formula>
      <formula>0.4</formula>
    </cfRule>
  </conditionalFormatting>
  <conditionalFormatting sqref="L5:L1000">
    <cfRule type="cellIs" dxfId="15" priority="19" operator="between">
      <formula>0.4</formula>
      <formula>0.6</formula>
    </cfRule>
  </conditionalFormatting>
  <conditionalFormatting sqref="L5:L1000">
    <cfRule type="cellIs" dxfId="16" priority="20" operator="greaterThanOrEqual">
      <formula>0.6</formula>
    </cfRule>
  </conditionalFormatting>
  <dataValidations>
    <dataValidation type="list" allowBlank="1" sqref="H6:H11 H13:H22 H24 H26 H28:H29 H31 H33:H69 H71:H145 H147:H155 H157 H159:H163 H165:H170 H172:H195 H197:H272 H274:H277 H279:H280 H282:H284 H286:H291 H293:H296 H298:H497">
      <formula1>"NOVO,SEMI_NOVO,USADO,RECONDICIONADO"</formula1>
    </dataValidation>
    <dataValidation type="list" allowBlank="1" sqref="G6:G11 G13:G22 G24 G26 G28:G29 G31 G33:G69 G71:G145 G147:G155 G157 G159:G163 G165:G170 G172:G195 G197:G272 G274:G277 G279:G280 G282:G284 G286:G291 G293:G296 G298:G497">
      <formula1>"DISPONIVEL,PACKED,EM_CAMPO,MANUTENCAO,EMPRESTADO,VENDIDO,BAIXA"</formula1>
    </dataValidation>
    <dataValidation type="list" allowBlank="1" sqref="I6:I11 I13:I22 I24 I26 I28:I29 I31 I33:I69 I71:I145 I147:I155 I157 I159:I163 I165:I170 I172:I195 I197:I272 I274:I277 I279:I280 I282:I284 I286:I291 I293:I296 I298:I497">
      <formula1>"★☆☆☆☆,★★☆☆☆,★★★☆☆,★★★★☆,★★★★★"</formula1>
    </dataValidation>
  </dataValidations>
  <hyperlinks>
    <hyperlink r:id="rId2" ref="A6"/>
    <hyperlink r:id="rId3" ref="A7"/>
    <hyperlink r:id="rId4" ref="A8"/>
    <hyperlink r:id="rId5" ref="A9"/>
    <hyperlink r:id="rId6" ref="A10"/>
    <hyperlink r:id="rId7" ref="A11"/>
    <hyperlink r:id="rId8" ref="A13"/>
    <hyperlink r:id="rId9" ref="A14"/>
    <hyperlink r:id="rId10" ref="A15"/>
    <hyperlink r:id="rId11" ref="A16"/>
    <hyperlink r:id="rId12" ref="A17"/>
    <hyperlink r:id="rId13" ref="A18"/>
    <hyperlink r:id="rId14" ref="A19"/>
    <hyperlink r:id="rId15" ref="A20"/>
    <hyperlink r:id="rId16" ref="A21"/>
    <hyperlink r:id="rId17" ref="A22"/>
    <hyperlink r:id="rId18" ref="A24"/>
    <hyperlink r:id="rId19" ref="A26"/>
    <hyperlink r:id="rId20" ref="A28"/>
    <hyperlink r:id="rId21" ref="A29"/>
    <hyperlink r:id="rId22" ref="A31"/>
    <hyperlink r:id="rId23" ref="A33"/>
    <hyperlink r:id="rId24" ref="A34"/>
    <hyperlink r:id="rId25" ref="A35"/>
    <hyperlink r:id="rId26" ref="A36"/>
    <hyperlink r:id="rId27" ref="A37"/>
    <hyperlink r:id="rId28" ref="A38"/>
    <hyperlink r:id="rId29" ref="A39"/>
    <hyperlink r:id="rId30" ref="A40"/>
    <hyperlink r:id="rId31" ref="A41"/>
    <hyperlink r:id="rId32" ref="A42"/>
    <hyperlink r:id="rId33" ref="A43"/>
    <hyperlink r:id="rId34" ref="A44"/>
    <hyperlink r:id="rId35" ref="A45"/>
    <hyperlink r:id="rId36" ref="A46"/>
    <hyperlink r:id="rId37" ref="A47"/>
    <hyperlink r:id="rId38" ref="A48"/>
    <hyperlink r:id="rId39" ref="A49"/>
    <hyperlink r:id="rId40" ref="A50"/>
    <hyperlink r:id="rId41" ref="A51"/>
    <hyperlink r:id="rId42" ref="A52"/>
    <hyperlink r:id="rId43" ref="A53"/>
    <hyperlink r:id="rId44" ref="A54"/>
    <hyperlink r:id="rId45" ref="A55"/>
    <hyperlink r:id="rId46" ref="A56"/>
    <hyperlink r:id="rId47" ref="A57"/>
    <hyperlink r:id="rId48" ref="A58"/>
    <hyperlink r:id="rId49" ref="A59"/>
    <hyperlink r:id="rId50" ref="A60"/>
    <hyperlink r:id="rId51" ref="A61"/>
    <hyperlink r:id="rId52" ref="A62"/>
    <hyperlink r:id="rId53" ref="A63"/>
    <hyperlink r:id="rId54" ref="A64"/>
    <hyperlink r:id="rId55" ref="A65"/>
    <hyperlink r:id="rId56" ref="A66"/>
    <hyperlink r:id="rId57" ref="A67"/>
    <hyperlink r:id="rId58" ref="A68"/>
    <hyperlink r:id="rId59" ref="A69"/>
    <hyperlink r:id="rId60" ref="A71"/>
    <hyperlink r:id="rId61" ref="A72"/>
    <hyperlink r:id="rId62" ref="A73"/>
    <hyperlink r:id="rId63" ref="A74"/>
    <hyperlink r:id="rId64" ref="A75"/>
    <hyperlink r:id="rId65" ref="A76"/>
    <hyperlink r:id="rId66" ref="A77"/>
    <hyperlink r:id="rId67" ref="A78"/>
    <hyperlink r:id="rId68" ref="A79"/>
    <hyperlink r:id="rId69" ref="A80"/>
    <hyperlink r:id="rId70" ref="A81"/>
    <hyperlink r:id="rId71" ref="A82"/>
    <hyperlink r:id="rId72" ref="A83"/>
    <hyperlink r:id="rId73" ref="A84"/>
    <hyperlink r:id="rId74" ref="A85"/>
    <hyperlink r:id="rId75" ref="A86"/>
    <hyperlink r:id="rId76" ref="A87"/>
    <hyperlink r:id="rId77" ref="A88"/>
    <hyperlink r:id="rId78" ref="A89"/>
    <hyperlink r:id="rId79" ref="A90"/>
    <hyperlink r:id="rId80" ref="A91"/>
    <hyperlink r:id="rId81" ref="A92"/>
    <hyperlink r:id="rId82" ref="A93"/>
    <hyperlink r:id="rId83" ref="A94"/>
    <hyperlink r:id="rId84" ref="A95"/>
    <hyperlink r:id="rId85" ref="A96"/>
    <hyperlink r:id="rId86" ref="A97"/>
    <hyperlink r:id="rId87" ref="A98"/>
    <hyperlink r:id="rId88" ref="A99"/>
    <hyperlink r:id="rId89" ref="A100"/>
    <hyperlink r:id="rId90" ref="A101"/>
    <hyperlink r:id="rId91" ref="A102"/>
    <hyperlink r:id="rId92" ref="A103"/>
    <hyperlink r:id="rId93" ref="A104"/>
    <hyperlink r:id="rId94" ref="A105"/>
    <hyperlink r:id="rId95" ref="A106"/>
    <hyperlink r:id="rId96" ref="A107"/>
    <hyperlink r:id="rId97" ref="A108"/>
    <hyperlink r:id="rId98" ref="A109"/>
    <hyperlink r:id="rId99" ref="A110"/>
    <hyperlink r:id="rId100" ref="A111"/>
    <hyperlink r:id="rId101" ref="A112"/>
    <hyperlink r:id="rId102" ref="A113"/>
    <hyperlink r:id="rId103" ref="A114"/>
    <hyperlink r:id="rId104" ref="A115"/>
    <hyperlink r:id="rId105" ref="A116"/>
    <hyperlink r:id="rId106" ref="A117"/>
    <hyperlink r:id="rId107" ref="A118"/>
    <hyperlink r:id="rId108" ref="A119"/>
    <hyperlink r:id="rId109" ref="A120"/>
    <hyperlink r:id="rId110" ref="A121"/>
    <hyperlink r:id="rId111" ref="A122"/>
    <hyperlink r:id="rId112" ref="A123"/>
    <hyperlink r:id="rId113" ref="A124"/>
    <hyperlink r:id="rId114" ref="A125"/>
    <hyperlink r:id="rId115" ref="A126"/>
    <hyperlink r:id="rId116" ref="A127"/>
    <hyperlink r:id="rId117" ref="A128"/>
    <hyperlink r:id="rId118" ref="A129"/>
    <hyperlink r:id="rId119" ref="A130"/>
    <hyperlink r:id="rId120" ref="A131"/>
    <hyperlink r:id="rId121" ref="A132"/>
    <hyperlink r:id="rId122" ref="A133"/>
    <hyperlink r:id="rId123" ref="A134"/>
    <hyperlink r:id="rId124" ref="A135"/>
    <hyperlink r:id="rId125" ref="A136"/>
    <hyperlink r:id="rId126" ref="A137"/>
    <hyperlink r:id="rId127" ref="A138"/>
    <hyperlink r:id="rId128" ref="A139"/>
    <hyperlink r:id="rId129" ref="A140"/>
    <hyperlink r:id="rId130" ref="A141"/>
    <hyperlink r:id="rId131" ref="A142"/>
    <hyperlink r:id="rId132" ref="A143"/>
    <hyperlink r:id="rId133" ref="A144"/>
    <hyperlink r:id="rId134" ref="A145"/>
    <hyperlink r:id="rId135" ref="A147"/>
    <hyperlink r:id="rId136" ref="A148"/>
    <hyperlink r:id="rId137" ref="A149"/>
    <hyperlink r:id="rId138" ref="A150"/>
    <hyperlink r:id="rId139" ref="A151"/>
    <hyperlink r:id="rId140" ref="A152"/>
    <hyperlink r:id="rId141" ref="A153"/>
    <hyperlink r:id="rId142" ref="A154"/>
    <hyperlink r:id="rId143" ref="A155"/>
    <hyperlink r:id="rId144" ref="A157"/>
    <hyperlink r:id="rId145" ref="A159"/>
    <hyperlink r:id="rId146" ref="A160"/>
    <hyperlink r:id="rId147" ref="A161"/>
    <hyperlink r:id="rId148" ref="A162"/>
    <hyperlink r:id="rId149" ref="A163"/>
    <hyperlink r:id="rId150" ref="A165"/>
    <hyperlink r:id="rId151" ref="A166"/>
    <hyperlink r:id="rId152" ref="A167"/>
    <hyperlink r:id="rId153" ref="A168"/>
    <hyperlink r:id="rId154" ref="A169"/>
    <hyperlink r:id="rId155" ref="A170"/>
    <hyperlink r:id="rId156" ref="A172"/>
    <hyperlink r:id="rId157" ref="A173"/>
    <hyperlink r:id="rId158" ref="A174"/>
    <hyperlink r:id="rId159" ref="A175"/>
    <hyperlink r:id="rId160" ref="A176"/>
    <hyperlink r:id="rId161" ref="A177"/>
    <hyperlink r:id="rId162" ref="A178"/>
    <hyperlink r:id="rId163" ref="A179"/>
    <hyperlink r:id="rId164" ref="A180"/>
    <hyperlink r:id="rId165" ref="A181"/>
    <hyperlink r:id="rId166" ref="A182"/>
    <hyperlink r:id="rId167" ref="A183"/>
    <hyperlink r:id="rId168" ref="A184"/>
    <hyperlink r:id="rId169" ref="A185"/>
    <hyperlink r:id="rId170" ref="A186"/>
    <hyperlink r:id="rId171" ref="A187"/>
    <hyperlink r:id="rId172" ref="A188"/>
    <hyperlink r:id="rId173" ref="A189"/>
    <hyperlink r:id="rId174" ref="A190"/>
    <hyperlink r:id="rId175" ref="A191"/>
    <hyperlink r:id="rId176" ref="A192"/>
    <hyperlink r:id="rId177" ref="A193"/>
    <hyperlink r:id="rId178" ref="A194"/>
    <hyperlink r:id="rId179" ref="A195"/>
    <hyperlink r:id="rId180" ref="A197"/>
    <hyperlink r:id="rId181" ref="A198"/>
    <hyperlink r:id="rId182" ref="A199"/>
    <hyperlink r:id="rId183" ref="A200"/>
    <hyperlink r:id="rId184" ref="A201"/>
    <hyperlink r:id="rId185" ref="A202"/>
    <hyperlink r:id="rId186" ref="A203"/>
    <hyperlink r:id="rId187" ref="A204"/>
    <hyperlink r:id="rId188" ref="A205"/>
    <hyperlink r:id="rId189" ref="A206"/>
    <hyperlink r:id="rId190" ref="A207"/>
    <hyperlink r:id="rId191" ref="A208"/>
    <hyperlink r:id="rId192" ref="A209"/>
    <hyperlink r:id="rId193" ref="A210"/>
    <hyperlink r:id="rId194" ref="A211"/>
    <hyperlink r:id="rId195" ref="A212"/>
    <hyperlink r:id="rId196" ref="A213"/>
    <hyperlink r:id="rId197" ref="A214"/>
    <hyperlink r:id="rId198" ref="A215"/>
    <hyperlink r:id="rId199" ref="A216"/>
    <hyperlink r:id="rId200" ref="A217"/>
    <hyperlink r:id="rId201" ref="A218"/>
    <hyperlink r:id="rId202" ref="A219"/>
    <hyperlink r:id="rId203" ref="A220"/>
    <hyperlink r:id="rId204" ref="A221"/>
    <hyperlink r:id="rId205" ref="A222"/>
    <hyperlink r:id="rId206" ref="A223"/>
    <hyperlink r:id="rId207" ref="A224"/>
    <hyperlink r:id="rId208" ref="A225"/>
    <hyperlink r:id="rId209" ref="A226"/>
    <hyperlink r:id="rId210" ref="A227"/>
    <hyperlink r:id="rId211" ref="A228"/>
    <hyperlink r:id="rId212" ref="A229"/>
    <hyperlink r:id="rId213" ref="A230"/>
    <hyperlink r:id="rId214" ref="A231"/>
    <hyperlink r:id="rId215" ref="A232"/>
    <hyperlink r:id="rId216" ref="A233"/>
    <hyperlink r:id="rId217" ref="A234"/>
    <hyperlink r:id="rId218" ref="A235"/>
    <hyperlink r:id="rId219" ref="A236"/>
    <hyperlink r:id="rId220" ref="A237"/>
    <hyperlink r:id="rId221" ref="A238"/>
    <hyperlink r:id="rId222" ref="A239"/>
    <hyperlink r:id="rId223" ref="A240"/>
    <hyperlink r:id="rId224" ref="A241"/>
    <hyperlink r:id="rId225" ref="A242"/>
    <hyperlink r:id="rId226" ref="A243"/>
    <hyperlink r:id="rId227" ref="A244"/>
    <hyperlink r:id="rId228" ref="A245"/>
    <hyperlink r:id="rId229" ref="A246"/>
    <hyperlink r:id="rId230" ref="A247"/>
    <hyperlink r:id="rId231" ref="A248"/>
    <hyperlink r:id="rId232" ref="A249"/>
    <hyperlink r:id="rId233" ref="A250"/>
    <hyperlink r:id="rId234" ref="A251"/>
    <hyperlink r:id="rId235" ref="A252"/>
    <hyperlink r:id="rId236" ref="A253"/>
    <hyperlink r:id="rId237" ref="A254"/>
    <hyperlink r:id="rId238" ref="A255"/>
    <hyperlink r:id="rId239" ref="A256"/>
    <hyperlink r:id="rId240" ref="A257"/>
    <hyperlink r:id="rId241" ref="A258"/>
    <hyperlink r:id="rId242" ref="A259"/>
    <hyperlink r:id="rId243" ref="A260"/>
    <hyperlink r:id="rId244" ref="A261"/>
    <hyperlink r:id="rId245" ref="A262"/>
    <hyperlink r:id="rId246" ref="A263"/>
    <hyperlink r:id="rId247" ref="A264"/>
    <hyperlink r:id="rId248" ref="A265"/>
    <hyperlink r:id="rId249" ref="A266"/>
    <hyperlink r:id="rId250" ref="A267"/>
    <hyperlink r:id="rId251" ref="A268"/>
    <hyperlink r:id="rId252" ref="A269"/>
    <hyperlink r:id="rId253" ref="A270"/>
    <hyperlink r:id="rId254" ref="A271"/>
    <hyperlink r:id="rId255" ref="A272"/>
    <hyperlink r:id="rId256" ref="A274"/>
    <hyperlink r:id="rId257" ref="A275"/>
    <hyperlink r:id="rId258" ref="A276"/>
    <hyperlink r:id="rId259" ref="A277"/>
    <hyperlink r:id="rId260" ref="A279"/>
    <hyperlink r:id="rId261" ref="A280"/>
    <hyperlink r:id="rId262" ref="A282"/>
    <hyperlink r:id="rId263" ref="A283"/>
    <hyperlink r:id="rId264" ref="A284"/>
    <hyperlink r:id="rId265" ref="A286"/>
    <hyperlink r:id="rId266" ref="A287"/>
    <hyperlink r:id="rId267" ref="A288"/>
    <hyperlink r:id="rId268" ref="A289"/>
    <hyperlink r:id="rId269" ref="A290"/>
    <hyperlink r:id="rId270" ref="A291"/>
    <hyperlink r:id="rId271" ref="A293"/>
  </hyperlinks>
  <printOptions/>
  <pageMargins bottom="1.0" footer="0.0" header="0.0" left="0.75" right="0.75" top="1.0"/>
  <pageSetup orientation="landscape"/>
  <drawing r:id="rId272"/>
  <legacyDrawing r:id="rId27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B981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26" width="8.71"/>
  </cols>
  <sheetData>
    <row r="1" ht="37.5" customHeight="1">
      <c r="A1" s="108" t="s">
        <v>600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5"/>
    </row>
    <row r="2" ht="21.75" customHeight="1">
      <c r="A2" s="90" t="s">
        <v>601</v>
      </c>
    </row>
    <row r="3" ht="6.0" customHeight="1"/>
    <row r="4" ht="27.75" customHeight="1">
      <c r="A4" s="91" t="s">
        <v>140</v>
      </c>
      <c r="B4" s="91" t="s">
        <v>123</v>
      </c>
      <c r="C4" s="91" t="s">
        <v>141</v>
      </c>
      <c r="D4" s="91" t="s">
        <v>142</v>
      </c>
      <c r="E4" s="91" t="s">
        <v>143</v>
      </c>
      <c r="F4" s="91" t="s">
        <v>144</v>
      </c>
      <c r="G4" s="91" t="s">
        <v>118</v>
      </c>
      <c r="H4" s="91" t="s">
        <v>145</v>
      </c>
      <c r="I4" s="91" t="s">
        <v>125</v>
      </c>
      <c r="J4" s="91" t="s">
        <v>146</v>
      </c>
      <c r="K4" s="91" t="s">
        <v>91</v>
      </c>
      <c r="L4" s="91" t="s">
        <v>136</v>
      </c>
      <c r="M4" s="91" t="s">
        <v>147</v>
      </c>
    </row>
    <row r="5" ht="24.0" customHeight="1">
      <c r="A5" s="109" t="s">
        <v>602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5"/>
    </row>
    <row r="6" ht="21.75" customHeight="1">
      <c r="A6" s="110" t="s">
        <v>603</v>
      </c>
      <c r="B6" s="74" t="s">
        <v>604</v>
      </c>
      <c r="C6" s="57" t="s">
        <v>605</v>
      </c>
      <c r="D6" s="57" t="s">
        <v>111</v>
      </c>
      <c r="E6" s="57"/>
      <c r="F6" s="57"/>
      <c r="G6" s="57" t="s">
        <v>75</v>
      </c>
      <c r="H6" s="57" t="s">
        <v>153</v>
      </c>
      <c r="I6" s="102" t="s">
        <v>132</v>
      </c>
      <c r="J6" s="59">
        <v>131.61</v>
      </c>
      <c r="K6" s="95">
        <v>131.61</v>
      </c>
      <c r="L6" s="96">
        <f>IF(J6&gt;0,(J6-K6)/J6,"")</f>
        <v>0</v>
      </c>
      <c r="M6" s="97"/>
    </row>
    <row r="7" ht="24.0" customHeight="1">
      <c r="A7" s="109" t="s">
        <v>606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5"/>
    </row>
    <row r="8" ht="36.0" customHeight="1">
      <c r="A8" s="111" t="s">
        <v>607</v>
      </c>
      <c r="B8" s="78" t="s">
        <v>608</v>
      </c>
      <c r="C8" s="51" t="s">
        <v>609</v>
      </c>
      <c r="D8" s="51" t="s">
        <v>610</v>
      </c>
      <c r="E8" s="51" t="s">
        <v>611</v>
      </c>
      <c r="F8" s="51"/>
      <c r="G8" s="51" t="s">
        <v>75</v>
      </c>
      <c r="H8" s="51" t="s">
        <v>153</v>
      </c>
      <c r="I8" s="102" t="s">
        <v>132</v>
      </c>
      <c r="J8" s="53">
        <v>1600.0</v>
      </c>
      <c r="K8" s="95">
        <v>2999.0</v>
      </c>
      <c r="L8" s="100">
        <f t="shared" ref="L8:L11" si="1">IF(J8&gt;0,(J8-K8)/J8,"")</f>
        <v>-0.874375</v>
      </c>
      <c r="M8" s="101" t="s">
        <v>612</v>
      </c>
    </row>
    <row r="9" ht="21.75" customHeight="1">
      <c r="A9" s="110" t="s">
        <v>613</v>
      </c>
      <c r="B9" s="74" t="s">
        <v>614</v>
      </c>
      <c r="C9" s="57" t="s">
        <v>615</v>
      </c>
      <c r="D9" s="57" t="s">
        <v>610</v>
      </c>
      <c r="E9" s="57"/>
      <c r="F9" s="57"/>
      <c r="G9" s="57" t="s">
        <v>75</v>
      </c>
      <c r="H9" s="57" t="s">
        <v>153</v>
      </c>
      <c r="I9" s="102" t="s">
        <v>132</v>
      </c>
      <c r="J9" s="59">
        <v>1600.0</v>
      </c>
      <c r="K9" s="95">
        <v>2999.0</v>
      </c>
      <c r="L9" s="96">
        <f t="shared" si="1"/>
        <v>-0.874375</v>
      </c>
      <c r="M9" s="97"/>
    </row>
    <row r="10" ht="36.0" customHeight="1">
      <c r="A10" s="111" t="s">
        <v>616</v>
      </c>
      <c r="B10" s="78" t="s">
        <v>617</v>
      </c>
      <c r="C10" s="51" t="s">
        <v>618</v>
      </c>
      <c r="D10" s="51" t="s">
        <v>610</v>
      </c>
      <c r="E10" s="51"/>
      <c r="F10" s="51"/>
      <c r="G10" s="51" t="s">
        <v>75</v>
      </c>
      <c r="H10" s="51" t="s">
        <v>153</v>
      </c>
      <c r="I10" s="112" t="s">
        <v>619</v>
      </c>
      <c r="J10" s="53">
        <v>4800.0</v>
      </c>
      <c r="K10" s="95">
        <v>4800.0</v>
      </c>
      <c r="L10" s="100">
        <f t="shared" si="1"/>
        <v>0</v>
      </c>
      <c r="M10" s="101" t="s">
        <v>620</v>
      </c>
    </row>
    <row r="11" ht="36.0" customHeight="1">
      <c r="A11" s="110" t="s">
        <v>621</v>
      </c>
      <c r="B11" s="74" t="s">
        <v>622</v>
      </c>
      <c r="C11" s="57" t="s">
        <v>623</v>
      </c>
      <c r="D11" s="57" t="s">
        <v>610</v>
      </c>
      <c r="E11" s="57" t="s">
        <v>624</v>
      </c>
      <c r="F11" s="57"/>
      <c r="G11" s="57" t="s">
        <v>75</v>
      </c>
      <c r="H11" s="57" t="s">
        <v>153</v>
      </c>
      <c r="I11" s="99" t="s">
        <v>81</v>
      </c>
      <c r="J11" s="59">
        <v>449.28</v>
      </c>
      <c r="K11" s="95">
        <v>449.28</v>
      </c>
      <c r="L11" s="96">
        <f t="shared" si="1"/>
        <v>0</v>
      </c>
      <c r="M11" s="97" t="s">
        <v>625</v>
      </c>
    </row>
    <row r="12" ht="24.0" customHeight="1">
      <c r="A12" s="109" t="s">
        <v>626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5"/>
    </row>
    <row r="13" ht="21.75" customHeight="1">
      <c r="A13" s="111" t="s">
        <v>627</v>
      </c>
      <c r="B13" s="78" t="s">
        <v>628</v>
      </c>
      <c r="C13" s="51" t="s">
        <v>609</v>
      </c>
      <c r="D13" s="51" t="s">
        <v>629</v>
      </c>
      <c r="E13" s="51" t="s">
        <v>630</v>
      </c>
      <c r="F13" s="51"/>
      <c r="G13" s="51" t="s">
        <v>75</v>
      </c>
      <c r="H13" s="51" t="s">
        <v>153</v>
      </c>
      <c r="I13" s="102" t="s">
        <v>132</v>
      </c>
      <c r="J13" s="53">
        <v>550.0</v>
      </c>
      <c r="K13" s="95">
        <v>759.0</v>
      </c>
      <c r="L13" s="100">
        <f t="shared" ref="L13:L14" si="2">IF(J13&gt;0,(J13-K13)/J13,"")</f>
        <v>-0.38</v>
      </c>
      <c r="M13" s="101"/>
    </row>
    <row r="14" ht="36.0" customHeight="1">
      <c r="A14" s="110" t="s">
        <v>631</v>
      </c>
      <c r="B14" s="74" t="s">
        <v>632</v>
      </c>
      <c r="C14" s="57" t="s">
        <v>609</v>
      </c>
      <c r="D14" s="57" t="s">
        <v>629</v>
      </c>
      <c r="E14" s="57" t="s">
        <v>633</v>
      </c>
      <c r="F14" s="57"/>
      <c r="G14" s="57" t="s">
        <v>75</v>
      </c>
      <c r="H14" s="57" t="s">
        <v>153</v>
      </c>
      <c r="I14" s="99" t="s">
        <v>81</v>
      </c>
      <c r="J14" s="59">
        <v>2579.0</v>
      </c>
      <c r="K14" s="95">
        <v>2088.0</v>
      </c>
      <c r="L14" s="96">
        <f t="shared" si="2"/>
        <v>0.1903838697</v>
      </c>
      <c r="M14" s="97" t="s">
        <v>634</v>
      </c>
    </row>
    <row r="15" ht="24.0" customHeight="1">
      <c r="A15" s="109" t="s">
        <v>635</v>
      </c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5"/>
    </row>
    <row r="16" ht="21.75" customHeight="1">
      <c r="A16" s="111" t="s">
        <v>636</v>
      </c>
      <c r="B16" s="78" t="s">
        <v>637</v>
      </c>
      <c r="C16" s="51" t="s">
        <v>605</v>
      </c>
      <c r="D16" s="51" t="s">
        <v>638</v>
      </c>
      <c r="E16" s="51"/>
      <c r="F16" s="51"/>
      <c r="G16" s="51" t="s">
        <v>75</v>
      </c>
      <c r="H16" s="51" t="s">
        <v>153</v>
      </c>
      <c r="I16" s="102" t="s">
        <v>132</v>
      </c>
      <c r="J16" s="53">
        <v>710.53</v>
      </c>
      <c r="K16" s="95">
        <v>971.0</v>
      </c>
      <c r="L16" s="100">
        <f t="shared" ref="L16:L17" si="3">IF(J16&gt;0,(J16-K16)/J16,"")</f>
        <v>-0.3665855066</v>
      </c>
      <c r="M16" s="101"/>
    </row>
    <row r="17" ht="21.75" customHeight="1">
      <c r="A17" s="110" t="s">
        <v>639</v>
      </c>
      <c r="B17" s="74" t="s">
        <v>640</v>
      </c>
      <c r="C17" s="57" t="s">
        <v>605</v>
      </c>
      <c r="D17" s="57" t="s">
        <v>638</v>
      </c>
      <c r="E17" s="57" t="s">
        <v>641</v>
      </c>
      <c r="F17" s="57"/>
      <c r="G17" s="57" t="s">
        <v>75</v>
      </c>
      <c r="H17" s="57" t="s">
        <v>153</v>
      </c>
      <c r="I17" s="102" t="s">
        <v>132</v>
      </c>
      <c r="J17" s="59">
        <v>1848.27</v>
      </c>
      <c r="K17" s="95">
        <v>1848.27</v>
      </c>
      <c r="L17" s="96">
        <f t="shared" si="3"/>
        <v>0</v>
      </c>
      <c r="M17" s="97"/>
    </row>
    <row r="18" ht="24.0" customHeight="1">
      <c r="A18" s="109" t="s">
        <v>642</v>
      </c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5"/>
    </row>
    <row r="19" ht="21.75" customHeight="1">
      <c r="A19" s="111" t="s">
        <v>643</v>
      </c>
      <c r="B19" s="78" t="s">
        <v>644</v>
      </c>
      <c r="C19" s="51" t="s">
        <v>605</v>
      </c>
      <c r="D19" s="51" t="s">
        <v>645</v>
      </c>
      <c r="E19" s="51"/>
      <c r="F19" s="51"/>
      <c r="G19" s="51" t="s">
        <v>75</v>
      </c>
      <c r="H19" s="51" t="s">
        <v>153</v>
      </c>
      <c r="I19" s="102" t="s">
        <v>132</v>
      </c>
      <c r="J19" s="53">
        <v>2828.79</v>
      </c>
      <c r="K19" s="95">
        <v>1356.0</v>
      </c>
      <c r="L19" s="100">
        <f>IF(J19&gt;0,(J19-K19)/J19,"")</f>
        <v>0.5206431018</v>
      </c>
      <c r="M19" s="101"/>
    </row>
    <row r="20" ht="24.0" customHeight="1">
      <c r="A20" s="109" t="s">
        <v>646</v>
      </c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5"/>
    </row>
    <row r="21" ht="21.75" customHeight="1">
      <c r="A21" s="110" t="s">
        <v>647</v>
      </c>
      <c r="B21" s="74" t="s">
        <v>648</v>
      </c>
      <c r="C21" s="57" t="s">
        <v>649</v>
      </c>
      <c r="D21" s="57" t="s">
        <v>650</v>
      </c>
      <c r="E21" s="57" t="s">
        <v>651</v>
      </c>
      <c r="F21" s="57"/>
      <c r="G21" s="57" t="s">
        <v>75</v>
      </c>
      <c r="H21" s="57" t="s">
        <v>153</v>
      </c>
      <c r="I21" s="102" t="s">
        <v>132</v>
      </c>
      <c r="J21" s="59">
        <v>790.0</v>
      </c>
      <c r="K21" s="95">
        <v>4699.9</v>
      </c>
      <c r="L21" s="96">
        <f t="shared" ref="L21:L24" si="4">IF(J21&gt;0,(J21-K21)/J21,"")</f>
        <v>-4.949240506</v>
      </c>
      <c r="M21" s="97"/>
    </row>
    <row r="22" ht="21.75" customHeight="1">
      <c r="A22" s="111" t="s">
        <v>652</v>
      </c>
      <c r="B22" s="78" t="s">
        <v>648</v>
      </c>
      <c r="C22" s="51" t="s">
        <v>649</v>
      </c>
      <c r="D22" s="51" t="s">
        <v>650</v>
      </c>
      <c r="E22" s="51" t="s">
        <v>653</v>
      </c>
      <c r="F22" s="51"/>
      <c r="G22" s="51" t="s">
        <v>75</v>
      </c>
      <c r="H22" s="51" t="s">
        <v>153</v>
      </c>
      <c r="I22" s="102" t="s">
        <v>132</v>
      </c>
      <c r="J22" s="53">
        <v>790.0</v>
      </c>
      <c r="K22" s="95">
        <v>4699.9</v>
      </c>
      <c r="L22" s="100">
        <f t="shared" si="4"/>
        <v>-4.949240506</v>
      </c>
      <c r="M22" s="101"/>
    </row>
    <row r="23" ht="21.75" customHeight="1">
      <c r="A23" s="110" t="s">
        <v>654</v>
      </c>
      <c r="B23" s="74" t="s">
        <v>655</v>
      </c>
      <c r="C23" s="57" t="s">
        <v>649</v>
      </c>
      <c r="D23" s="57" t="s">
        <v>650</v>
      </c>
      <c r="E23" s="57" t="s">
        <v>656</v>
      </c>
      <c r="F23" s="57"/>
      <c r="G23" s="57" t="s">
        <v>75</v>
      </c>
      <c r="H23" s="57" t="s">
        <v>153</v>
      </c>
      <c r="I23" s="102" t="s">
        <v>132</v>
      </c>
      <c r="J23" s="59">
        <v>790.0</v>
      </c>
      <c r="K23" s="95">
        <v>4699.9</v>
      </c>
      <c r="L23" s="96">
        <f t="shared" si="4"/>
        <v>-4.949240506</v>
      </c>
      <c r="M23" s="97"/>
    </row>
    <row r="24" ht="21.75" customHeight="1">
      <c r="A24" s="111" t="s">
        <v>657</v>
      </c>
      <c r="B24" s="78" t="s">
        <v>658</v>
      </c>
      <c r="C24" s="51" t="s">
        <v>649</v>
      </c>
      <c r="D24" s="51" t="s">
        <v>650</v>
      </c>
      <c r="E24" s="51" t="s">
        <v>659</v>
      </c>
      <c r="F24" s="51"/>
      <c r="G24" s="51" t="s">
        <v>75</v>
      </c>
      <c r="H24" s="51" t="s">
        <v>153</v>
      </c>
      <c r="I24" s="102" t="s">
        <v>132</v>
      </c>
      <c r="J24" s="53">
        <v>790.0</v>
      </c>
      <c r="K24" s="95">
        <v>995.0</v>
      </c>
      <c r="L24" s="100">
        <f t="shared" si="4"/>
        <v>-0.2594936709</v>
      </c>
      <c r="M24" s="101"/>
    </row>
    <row r="25" ht="24.0" customHeight="1">
      <c r="A25" s="109" t="s">
        <v>660</v>
      </c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5"/>
    </row>
    <row r="26" ht="21.75" customHeight="1">
      <c r="A26" s="110" t="s">
        <v>661</v>
      </c>
      <c r="B26" s="74" t="s">
        <v>662</v>
      </c>
      <c r="C26" s="57" t="s">
        <v>663</v>
      </c>
      <c r="D26" s="57" t="s">
        <v>664</v>
      </c>
      <c r="E26" s="57" t="s">
        <v>665</v>
      </c>
      <c r="F26" s="57"/>
      <c r="G26" s="57" t="s">
        <v>75</v>
      </c>
      <c r="H26" s="57" t="s">
        <v>153</v>
      </c>
      <c r="I26" s="102" t="s">
        <v>132</v>
      </c>
      <c r="J26" s="59">
        <v>4199.0</v>
      </c>
      <c r="K26" s="95">
        <v>4199.0</v>
      </c>
      <c r="L26" s="96">
        <f>IF(J26&gt;0,(J26-K26)/J26,"")</f>
        <v>0</v>
      </c>
      <c r="M26" s="97"/>
    </row>
    <row r="27" ht="24.0" customHeight="1">
      <c r="A27" s="109" t="s">
        <v>666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5"/>
    </row>
    <row r="28" ht="21.75" customHeight="1">
      <c r="A28" s="111" t="s">
        <v>667</v>
      </c>
      <c r="B28" s="78" t="s">
        <v>668</v>
      </c>
      <c r="C28" s="51" t="s">
        <v>669</v>
      </c>
      <c r="D28" s="51" t="s">
        <v>670</v>
      </c>
      <c r="E28" s="51" t="s">
        <v>671</v>
      </c>
      <c r="F28" s="51"/>
      <c r="G28" s="51" t="s">
        <v>75</v>
      </c>
      <c r="H28" s="51" t="s">
        <v>153</v>
      </c>
      <c r="I28" s="102" t="s">
        <v>132</v>
      </c>
      <c r="J28" s="53">
        <v>2299.0</v>
      </c>
      <c r="K28" s="95">
        <v>7839.0</v>
      </c>
      <c r="L28" s="100">
        <f t="shared" ref="L28:L29" si="5">IF(J28&gt;0,(J28-K28)/J28,"")</f>
        <v>-2.409743367</v>
      </c>
      <c r="M28" s="101"/>
    </row>
    <row r="29" ht="21.75" customHeight="1">
      <c r="A29" s="110" t="s">
        <v>672</v>
      </c>
      <c r="B29" s="74" t="s">
        <v>673</v>
      </c>
      <c r="C29" s="57" t="s">
        <v>669</v>
      </c>
      <c r="D29" s="57" t="s">
        <v>670</v>
      </c>
      <c r="E29" s="57" t="s">
        <v>674</v>
      </c>
      <c r="F29" s="57"/>
      <c r="G29" s="57" t="s">
        <v>75</v>
      </c>
      <c r="H29" s="57" t="s">
        <v>153</v>
      </c>
      <c r="I29" s="102" t="s">
        <v>132</v>
      </c>
      <c r="J29" s="59">
        <v>2299.0</v>
      </c>
      <c r="K29" s="95">
        <v>6619.0</v>
      </c>
      <c r="L29" s="96">
        <f t="shared" si="5"/>
        <v>-1.87907786</v>
      </c>
      <c r="M29" s="97"/>
    </row>
    <row r="30" ht="24.0" customHeight="1">
      <c r="A30" s="109" t="s">
        <v>675</v>
      </c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5"/>
    </row>
    <row r="31" ht="21.75" customHeight="1">
      <c r="A31" s="111" t="s">
        <v>676</v>
      </c>
      <c r="B31" s="78" t="s">
        <v>677</v>
      </c>
      <c r="C31" s="51"/>
      <c r="D31" s="51" t="s">
        <v>678</v>
      </c>
      <c r="E31" s="51"/>
      <c r="F31" s="51"/>
      <c r="G31" s="51" t="s">
        <v>75</v>
      </c>
      <c r="H31" s="51" t="s">
        <v>153</v>
      </c>
      <c r="I31" s="102" t="s">
        <v>132</v>
      </c>
      <c r="J31" s="53">
        <v>2299.0</v>
      </c>
      <c r="K31" s="95">
        <v>2088.0</v>
      </c>
      <c r="L31" s="100">
        <f>IF(J31&gt;0,(J31-K31)/J31,"")</f>
        <v>0.09177903436</v>
      </c>
      <c r="M31" s="101"/>
    </row>
    <row r="32" ht="24.0" customHeight="1">
      <c r="A32" s="109" t="s">
        <v>679</v>
      </c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5"/>
    </row>
    <row r="33" ht="21.75" customHeight="1">
      <c r="A33" s="110" t="s">
        <v>680</v>
      </c>
      <c r="B33" s="74" t="s">
        <v>681</v>
      </c>
      <c r="C33" s="57" t="s">
        <v>649</v>
      </c>
      <c r="D33" s="57" t="s">
        <v>682</v>
      </c>
      <c r="E33" s="57" t="s">
        <v>683</v>
      </c>
      <c r="F33" s="57"/>
      <c r="G33" s="57" t="s">
        <v>75</v>
      </c>
      <c r="H33" s="57" t="s">
        <v>153</v>
      </c>
      <c r="I33" s="102" t="s">
        <v>132</v>
      </c>
      <c r="J33" s="59">
        <v>790.0</v>
      </c>
      <c r="K33" s="95">
        <v>995.0</v>
      </c>
      <c r="L33" s="96">
        <f>IF(J33&gt;0,(J33-K33)/J33,"")</f>
        <v>-0.2594936709</v>
      </c>
      <c r="M33" s="97"/>
    </row>
    <row r="34" ht="24.0" customHeight="1">
      <c r="A34" s="109" t="s">
        <v>684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5"/>
    </row>
    <row r="35" ht="21.75" customHeight="1">
      <c r="A35" s="111" t="s">
        <v>685</v>
      </c>
      <c r="B35" s="78" t="s">
        <v>686</v>
      </c>
      <c r="C35" s="51" t="s">
        <v>687</v>
      </c>
      <c r="D35" s="51" t="s">
        <v>688</v>
      </c>
      <c r="E35" s="51" t="s">
        <v>689</v>
      </c>
      <c r="F35" s="51"/>
      <c r="G35" s="51" t="s">
        <v>75</v>
      </c>
      <c r="H35" s="51" t="s">
        <v>153</v>
      </c>
      <c r="I35" s="102" t="s">
        <v>132</v>
      </c>
      <c r="J35" s="53">
        <v>6349.0</v>
      </c>
      <c r="K35" s="95">
        <v>6149.0</v>
      </c>
      <c r="L35" s="100">
        <f t="shared" ref="L35:L51" si="6">IF(J35&gt;0,(J35-K35)/J35,"")</f>
        <v>0.03150102378</v>
      </c>
      <c r="M35" s="101"/>
    </row>
    <row r="36" ht="21.75" customHeight="1">
      <c r="A36" s="110" t="s">
        <v>690</v>
      </c>
      <c r="B36" s="74" t="s">
        <v>686</v>
      </c>
      <c r="C36" s="57" t="s">
        <v>687</v>
      </c>
      <c r="D36" s="57" t="s">
        <v>688</v>
      </c>
      <c r="E36" s="57" t="s">
        <v>691</v>
      </c>
      <c r="F36" s="57"/>
      <c r="G36" s="57" t="s">
        <v>75</v>
      </c>
      <c r="H36" s="57" t="s">
        <v>153</v>
      </c>
      <c r="I36" s="102" t="s">
        <v>132</v>
      </c>
      <c r="J36" s="59">
        <v>6349.0</v>
      </c>
      <c r="K36" s="95">
        <v>6149.0</v>
      </c>
      <c r="L36" s="96">
        <f t="shared" si="6"/>
        <v>0.03150102378</v>
      </c>
      <c r="M36" s="97"/>
    </row>
    <row r="37" ht="36.0" customHeight="1">
      <c r="A37" s="111" t="s">
        <v>692</v>
      </c>
      <c r="B37" s="78" t="s">
        <v>693</v>
      </c>
      <c r="C37" s="51" t="s">
        <v>694</v>
      </c>
      <c r="D37" s="51" t="s">
        <v>688</v>
      </c>
      <c r="E37" s="51" t="s">
        <v>695</v>
      </c>
      <c r="F37" s="51"/>
      <c r="G37" s="51" t="s">
        <v>75</v>
      </c>
      <c r="H37" s="51" t="s">
        <v>696</v>
      </c>
      <c r="I37" s="113" t="s">
        <v>127</v>
      </c>
      <c r="J37" s="53">
        <v>11581.68</v>
      </c>
      <c r="K37" s="95">
        <v>8499.0</v>
      </c>
      <c r="L37" s="100">
        <f t="shared" si="6"/>
        <v>0.2661686387</v>
      </c>
      <c r="M37" s="101" t="s">
        <v>697</v>
      </c>
    </row>
    <row r="38" ht="36.0" customHeight="1">
      <c r="A38" s="110" t="s">
        <v>698</v>
      </c>
      <c r="B38" s="74" t="s">
        <v>693</v>
      </c>
      <c r="C38" s="57" t="s">
        <v>694</v>
      </c>
      <c r="D38" s="57" t="s">
        <v>688</v>
      </c>
      <c r="E38" s="57" t="s">
        <v>699</v>
      </c>
      <c r="F38" s="57"/>
      <c r="G38" s="57" t="s">
        <v>75</v>
      </c>
      <c r="H38" s="57" t="s">
        <v>696</v>
      </c>
      <c r="I38" s="114" t="s">
        <v>154</v>
      </c>
      <c r="J38" s="59">
        <v>11581.68</v>
      </c>
      <c r="K38" s="95">
        <v>8499.0</v>
      </c>
      <c r="L38" s="96">
        <f t="shared" si="6"/>
        <v>0.2661686387</v>
      </c>
      <c r="M38" s="97" t="s">
        <v>700</v>
      </c>
    </row>
    <row r="39" ht="21.75" customHeight="1">
      <c r="A39" s="111" t="s">
        <v>701</v>
      </c>
      <c r="B39" s="78" t="s">
        <v>702</v>
      </c>
      <c r="C39" s="51" t="s">
        <v>703</v>
      </c>
      <c r="D39" s="51" t="s">
        <v>688</v>
      </c>
      <c r="E39" s="51" t="s">
        <v>704</v>
      </c>
      <c r="F39" s="51"/>
      <c r="G39" s="51" t="s">
        <v>75</v>
      </c>
      <c r="H39" s="51" t="s">
        <v>696</v>
      </c>
      <c r="I39" s="113" t="s">
        <v>127</v>
      </c>
      <c r="J39" s="53">
        <v>10710.0</v>
      </c>
      <c r="K39" s="95">
        <v>8354.0</v>
      </c>
      <c r="L39" s="100">
        <f t="shared" si="6"/>
        <v>0.2199813259</v>
      </c>
      <c r="M39" s="101"/>
    </row>
    <row r="40" ht="21.75" customHeight="1">
      <c r="A40" s="110" t="s">
        <v>705</v>
      </c>
      <c r="B40" s="74" t="s">
        <v>702</v>
      </c>
      <c r="C40" s="57" t="s">
        <v>703</v>
      </c>
      <c r="D40" s="57" t="s">
        <v>688</v>
      </c>
      <c r="E40" s="57" t="s">
        <v>706</v>
      </c>
      <c r="F40" s="57"/>
      <c r="G40" s="57" t="s">
        <v>75</v>
      </c>
      <c r="H40" s="57" t="s">
        <v>696</v>
      </c>
      <c r="I40" s="113" t="s">
        <v>127</v>
      </c>
      <c r="J40" s="59">
        <v>10710.0</v>
      </c>
      <c r="K40" s="95">
        <v>8354.0</v>
      </c>
      <c r="L40" s="96">
        <f t="shared" si="6"/>
        <v>0.2199813259</v>
      </c>
      <c r="M40" s="97"/>
    </row>
    <row r="41" ht="36.0" customHeight="1">
      <c r="A41" s="111" t="s">
        <v>707</v>
      </c>
      <c r="B41" s="78" t="s">
        <v>133</v>
      </c>
      <c r="C41" s="51" t="s">
        <v>703</v>
      </c>
      <c r="D41" s="51" t="s">
        <v>688</v>
      </c>
      <c r="E41" s="51" t="s">
        <v>708</v>
      </c>
      <c r="F41" s="51"/>
      <c r="G41" s="51" t="s">
        <v>75</v>
      </c>
      <c r="H41" s="51" t="s">
        <v>153</v>
      </c>
      <c r="I41" s="102" t="s">
        <v>132</v>
      </c>
      <c r="J41" s="53">
        <v>12530.0</v>
      </c>
      <c r="K41" s="95">
        <v>8990.0</v>
      </c>
      <c r="L41" s="100">
        <f t="shared" si="6"/>
        <v>0.2825219473</v>
      </c>
      <c r="M41" s="101" t="s">
        <v>709</v>
      </c>
    </row>
    <row r="42" ht="21.75" customHeight="1">
      <c r="A42" s="110" t="s">
        <v>710</v>
      </c>
      <c r="B42" s="74" t="s">
        <v>133</v>
      </c>
      <c r="C42" s="57" t="s">
        <v>703</v>
      </c>
      <c r="D42" s="57" t="s">
        <v>688</v>
      </c>
      <c r="E42" s="57" t="s">
        <v>711</v>
      </c>
      <c r="F42" s="57"/>
      <c r="G42" s="57" t="s">
        <v>75</v>
      </c>
      <c r="H42" s="57" t="s">
        <v>696</v>
      </c>
      <c r="I42" s="113" t="s">
        <v>127</v>
      </c>
      <c r="J42" s="59">
        <v>12530.0</v>
      </c>
      <c r="K42" s="95">
        <v>8990.0</v>
      </c>
      <c r="L42" s="96">
        <f t="shared" si="6"/>
        <v>0.2825219473</v>
      </c>
      <c r="M42" s="97"/>
    </row>
    <row r="43" ht="21.75" customHeight="1">
      <c r="A43" s="111" t="s">
        <v>712</v>
      </c>
      <c r="B43" s="78" t="s">
        <v>133</v>
      </c>
      <c r="C43" s="51" t="s">
        <v>703</v>
      </c>
      <c r="D43" s="51" t="s">
        <v>688</v>
      </c>
      <c r="E43" s="51" t="s">
        <v>713</v>
      </c>
      <c r="F43" s="51"/>
      <c r="G43" s="51" t="s">
        <v>75</v>
      </c>
      <c r="H43" s="51" t="s">
        <v>696</v>
      </c>
      <c r="I43" s="113" t="s">
        <v>127</v>
      </c>
      <c r="J43" s="53">
        <v>12530.0</v>
      </c>
      <c r="K43" s="95">
        <v>8990.0</v>
      </c>
      <c r="L43" s="100">
        <f t="shared" si="6"/>
        <v>0.2825219473</v>
      </c>
      <c r="M43" s="101"/>
    </row>
    <row r="44" ht="21.75" customHeight="1">
      <c r="A44" s="110" t="s">
        <v>714</v>
      </c>
      <c r="B44" s="74" t="s">
        <v>133</v>
      </c>
      <c r="C44" s="57" t="s">
        <v>703</v>
      </c>
      <c r="D44" s="57" t="s">
        <v>688</v>
      </c>
      <c r="E44" s="57" t="s">
        <v>715</v>
      </c>
      <c r="F44" s="57"/>
      <c r="G44" s="57" t="s">
        <v>75</v>
      </c>
      <c r="H44" s="57" t="s">
        <v>696</v>
      </c>
      <c r="I44" s="113" t="s">
        <v>127</v>
      </c>
      <c r="J44" s="59">
        <v>12530.0</v>
      </c>
      <c r="K44" s="95">
        <v>8990.0</v>
      </c>
      <c r="L44" s="96">
        <f t="shared" si="6"/>
        <v>0.2825219473</v>
      </c>
      <c r="M44" s="97"/>
    </row>
    <row r="45" ht="21.75" customHeight="1">
      <c r="A45" s="111" t="s">
        <v>716</v>
      </c>
      <c r="B45" s="78" t="s">
        <v>133</v>
      </c>
      <c r="C45" s="51" t="s">
        <v>703</v>
      </c>
      <c r="D45" s="51" t="s">
        <v>688</v>
      </c>
      <c r="E45" s="51" t="s">
        <v>717</v>
      </c>
      <c r="F45" s="51"/>
      <c r="G45" s="51" t="s">
        <v>75</v>
      </c>
      <c r="H45" s="51" t="s">
        <v>696</v>
      </c>
      <c r="I45" s="113" t="s">
        <v>127</v>
      </c>
      <c r="J45" s="53">
        <v>12530.0</v>
      </c>
      <c r="K45" s="95">
        <v>8990.0</v>
      </c>
      <c r="L45" s="100">
        <f t="shared" si="6"/>
        <v>0.2825219473</v>
      </c>
      <c r="M45" s="101"/>
    </row>
    <row r="46" ht="21.75" customHeight="1">
      <c r="A46" s="110" t="s">
        <v>718</v>
      </c>
      <c r="B46" s="74" t="s">
        <v>133</v>
      </c>
      <c r="C46" s="57" t="s">
        <v>703</v>
      </c>
      <c r="D46" s="57" t="s">
        <v>688</v>
      </c>
      <c r="E46" s="57" t="s">
        <v>719</v>
      </c>
      <c r="F46" s="57"/>
      <c r="G46" s="57" t="s">
        <v>75</v>
      </c>
      <c r="H46" s="57" t="s">
        <v>696</v>
      </c>
      <c r="I46" s="113" t="s">
        <v>127</v>
      </c>
      <c r="J46" s="59">
        <v>12530.0</v>
      </c>
      <c r="K46" s="95">
        <v>8990.0</v>
      </c>
      <c r="L46" s="96">
        <f t="shared" si="6"/>
        <v>0.2825219473</v>
      </c>
      <c r="M46" s="97"/>
    </row>
    <row r="47" ht="21.75" customHeight="1">
      <c r="A47" s="111" t="s">
        <v>720</v>
      </c>
      <c r="B47" s="78" t="s">
        <v>721</v>
      </c>
      <c r="C47" s="51" t="s">
        <v>703</v>
      </c>
      <c r="D47" s="51" t="s">
        <v>688</v>
      </c>
      <c r="E47" s="51"/>
      <c r="F47" s="51"/>
      <c r="G47" s="51" t="s">
        <v>75</v>
      </c>
      <c r="H47" s="51" t="s">
        <v>153</v>
      </c>
      <c r="I47" s="112" t="s">
        <v>619</v>
      </c>
      <c r="J47" s="53">
        <v>10710.0</v>
      </c>
      <c r="K47" s="95">
        <v>10710.0</v>
      </c>
      <c r="L47" s="100">
        <f t="shared" si="6"/>
        <v>0</v>
      </c>
      <c r="M47" s="101"/>
    </row>
    <row r="48" ht="21.75" customHeight="1">
      <c r="A48" s="110" t="s">
        <v>722</v>
      </c>
      <c r="B48" s="74" t="s">
        <v>723</v>
      </c>
      <c r="C48" s="57" t="s">
        <v>724</v>
      </c>
      <c r="D48" s="57" t="s">
        <v>688</v>
      </c>
      <c r="E48" s="57"/>
      <c r="F48" s="57"/>
      <c r="G48" s="57" t="s">
        <v>75</v>
      </c>
      <c r="H48" s="57" t="s">
        <v>153</v>
      </c>
      <c r="I48" s="102" t="s">
        <v>132</v>
      </c>
      <c r="J48" s="59">
        <v>2470.0</v>
      </c>
      <c r="K48" s="95">
        <v>2470.0</v>
      </c>
      <c r="L48" s="96">
        <f t="shared" si="6"/>
        <v>0</v>
      </c>
      <c r="M48" s="97"/>
    </row>
    <row r="49" ht="21.75" customHeight="1">
      <c r="A49" s="111" t="s">
        <v>725</v>
      </c>
      <c r="B49" s="78" t="s">
        <v>726</v>
      </c>
      <c r="C49" s="51" t="s">
        <v>727</v>
      </c>
      <c r="D49" s="51" t="s">
        <v>688</v>
      </c>
      <c r="E49" s="51"/>
      <c r="F49" s="51"/>
      <c r="G49" s="51" t="s">
        <v>75</v>
      </c>
      <c r="H49" s="51" t="s">
        <v>153</v>
      </c>
      <c r="I49" s="102" t="s">
        <v>132</v>
      </c>
      <c r="J49" s="53">
        <v>1699.0</v>
      </c>
      <c r="K49" s="95">
        <v>1699.0</v>
      </c>
      <c r="L49" s="100">
        <f t="shared" si="6"/>
        <v>0</v>
      </c>
      <c r="M49" s="101"/>
    </row>
    <row r="50" ht="21.75" customHeight="1">
      <c r="A50" s="110" t="s">
        <v>728</v>
      </c>
      <c r="B50" s="74" t="s">
        <v>729</v>
      </c>
      <c r="C50" s="57" t="s">
        <v>727</v>
      </c>
      <c r="D50" s="57" t="s">
        <v>688</v>
      </c>
      <c r="E50" s="57"/>
      <c r="F50" s="57"/>
      <c r="G50" s="57" t="s">
        <v>75</v>
      </c>
      <c r="H50" s="57" t="s">
        <v>153</v>
      </c>
      <c r="I50" s="102" t="s">
        <v>132</v>
      </c>
      <c r="J50" s="59">
        <v>2499.0</v>
      </c>
      <c r="K50" s="95">
        <v>2499.0</v>
      </c>
      <c r="L50" s="96">
        <f t="shared" si="6"/>
        <v>0</v>
      </c>
      <c r="M50" s="97"/>
    </row>
    <row r="51" ht="21.75" customHeight="1">
      <c r="A51" s="111" t="s">
        <v>730</v>
      </c>
      <c r="B51" s="78" t="s">
        <v>731</v>
      </c>
      <c r="C51" s="51" t="s">
        <v>731</v>
      </c>
      <c r="D51" s="51" t="s">
        <v>688</v>
      </c>
      <c r="E51" s="51"/>
      <c r="F51" s="51"/>
      <c r="G51" s="51" t="s">
        <v>75</v>
      </c>
      <c r="H51" s="51" t="s">
        <v>153</v>
      </c>
      <c r="I51" s="102" t="s">
        <v>132</v>
      </c>
      <c r="J51" s="53">
        <v>2299.0</v>
      </c>
      <c r="K51" s="95">
        <v>1351.0</v>
      </c>
      <c r="L51" s="100">
        <f t="shared" si="6"/>
        <v>0.412353197</v>
      </c>
      <c r="M51" s="101"/>
    </row>
    <row r="52" ht="24.0" customHeight="1">
      <c r="A52" s="109" t="s">
        <v>732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5"/>
    </row>
    <row r="53" ht="21.75" customHeight="1">
      <c r="A53" s="110" t="s">
        <v>733</v>
      </c>
      <c r="B53" s="74" t="s">
        <v>734</v>
      </c>
      <c r="C53" s="57"/>
      <c r="D53" s="57" t="s">
        <v>735</v>
      </c>
      <c r="E53" s="57"/>
      <c r="F53" s="57"/>
      <c r="G53" s="57" t="s">
        <v>75</v>
      </c>
      <c r="H53" s="57" t="s">
        <v>153</v>
      </c>
      <c r="I53" s="102" t="s">
        <v>132</v>
      </c>
      <c r="J53" s="59">
        <v>1600.0</v>
      </c>
      <c r="K53" s="95">
        <v>1119.0</v>
      </c>
      <c r="L53" s="96">
        <f>IF(J53&gt;0,(J53-K53)/J53,"")</f>
        <v>0.300625</v>
      </c>
      <c r="M53" s="97"/>
    </row>
    <row r="54" ht="24.0" customHeight="1">
      <c r="A54" s="109" t="s">
        <v>736</v>
      </c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5"/>
    </row>
    <row r="55" ht="21.75" customHeight="1">
      <c r="A55" s="111" t="s">
        <v>737</v>
      </c>
      <c r="B55" s="78" t="s">
        <v>738</v>
      </c>
      <c r="C55" s="51" t="s">
        <v>739</v>
      </c>
      <c r="D55" s="51" t="s">
        <v>740</v>
      </c>
      <c r="E55" s="51" t="s">
        <v>741</v>
      </c>
      <c r="F55" s="51"/>
      <c r="G55" s="51" t="s">
        <v>75</v>
      </c>
      <c r="H55" s="51" t="s">
        <v>153</v>
      </c>
      <c r="I55" s="102" t="s">
        <v>132</v>
      </c>
      <c r="J55" s="53">
        <v>2299.0</v>
      </c>
      <c r="K55" s="95">
        <v>4245.0</v>
      </c>
      <c r="L55" s="100">
        <f>IF(J55&gt;0,(J55-K55)/J55,"")</f>
        <v>-0.8464549804</v>
      </c>
      <c r="M55" s="101"/>
    </row>
    <row r="56" ht="24.0" customHeight="1">
      <c r="A56" s="109" t="s">
        <v>742</v>
      </c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5"/>
    </row>
    <row r="57" ht="21.75" customHeight="1">
      <c r="A57" s="110" t="s">
        <v>743</v>
      </c>
      <c r="B57" s="74" t="s">
        <v>744</v>
      </c>
      <c r="C57" s="57" t="s">
        <v>745</v>
      </c>
      <c r="D57" s="57" t="s">
        <v>746</v>
      </c>
      <c r="E57" s="57" t="s">
        <v>747</v>
      </c>
      <c r="F57" s="57"/>
      <c r="G57" s="57" t="s">
        <v>75</v>
      </c>
      <c r="H57" s="57" t="s">
        <v>696</v>
      </c>
      <c r="I57" s="113" t="s">
        <v>127</v>
      </c>
      <c r="J57" s="59">
        <v>3500.0</v>
      </c>
      <c r="K57" s="95">
        <v>2500.0</v>
      </c>
      <c r="L57" s="96">
        <f t="shared" ref="L57:L62" si="7">IF(J57&gt;0,(J57-K57)/J57,"")</f>
        <v>0.2857142857</v>
      </c>
      <c r="M57" s="97"/>
    </row>
    <row r="58" ht="21.75" customHeight="1">
      <c r="A58" s="111" t="s">
        <v>748</v>
      </c>
      <c r="B58" s="78" t="s">
        <v>749</v>
      </c>
      <c r="C58" s="51" t="s">
        <v>745</v>
      </c>
      <c r="D58" s="51" t="s">
        <v>746</v>
      </c>
      <c r="E58" s="51" t="s">
        <v>750</v>
      </c>
      <c r="F58" s="51"/>
      <c r="G58" s="51" t="s">
        <v>75</v>
      </c>
      <c r="H58" s="51" t="s">
        <v>153</v>
      </c>
      <c r="I58" s="102" t="s">
        <v>132</v>
      </c>
      <c r="J58" s="53">
        <v>3258.0</v>
      </c>
      <c r="K58" s="95">
        <v>3258.0</v>
      </c>
      <c r="L58" s="100">
        <f t="shared" si="7"/>
        <v>0</v>
      </c>
      <c r="M58" s="101"/>
    </row>
    <row r="59" ht="21.75" customHeight="1">
      <c r="A59" s="110" t="s">
        <v>751</v>
      </c>
      <c r="B59" s="74" t="s">
        <v>744</v>
      </c>
      <c r="C59" s="57" t="s">
        <v>745</v>
      </c>
      <c r="D59" s="57" t="s">
        <v>746</v>
      </c>
      <c r="E59" s="57" t="s">
        <v>752</v>
      </c>
      <c r="F59" s="57"/>
      <c r="G59" s="57" t="s">
        <v>75</v>
      </c>
      <c r="H59" s="57" t="s">
        <v>696</v>
      </c>
      <c r="I59" s="113" t="s">
        <v>127</v>
      </c>
      <c r="J59" s="59">
        <v>3500.0</v>
      </c>
      <c r="K59" s="95">
        <v>2500.0</v>
      </c>
      <c r="L59" s="96">
        <f t="shared" si="7"/>
        <v>0.2857142857</v>
      </c>
      <c r="M59" s="97"/>
    </row>
    <row r="60" ht="21.75" customHeight="1">
      <c r="A60" s="111" t="s">
        <v>753</v>
      </c>
      <c r="B60" s="78" t="s">
        <v>129</v>
      </c>
      <c r="C60" s="51" t="s">
        <v>745</v>
      </c>
      <c r="D60" s="51" t="s">
        <v>746</v>
      </c>
      <c r="E60" s="51" t="s">
        <v>754</v>
      </c>
      <c r="F60" s="51"/>
      <c r="G60" s="51" t="s">
        <v>75</v>
      </c>
      <c r="H60" s="51" t="s">
        <v>696</v>
      </c>
      <c r="I60" s="113" t="s">
        <v>127</v>
      </c>
      <c r="J60" s="53">
        <v>13997.0</v>
      </c>
      <c r="K60" s="95">
        <v>11319.0</v>
      </c>
      <c r="L60" s="100">
        <f t="shared" si="7"/>
        <v>0.1913267129</v>
      </c>
      <c r="M60" s="101"/>
    </row>
    <row r="61" ht="21.75" customHeight="1">
      <c r="A61" s="110" t="s">
        <v>755</v>
      </c>
      <c r="B61" s="74" t="s">
        <v>756</v>
      </c>
      <c r="C61" s="57" t="s">
        <v>745</v>
      </c>
      <c r="D61" s="57" t="s">
        <v>746</v>
      </c>
      <c r="E61" s="57" t="s">
        <v>757</v>
      </c>
      <c r="F61" s="57"/>
      <c r="G61" s="57" t="s">
        <v>75</v>
      </c>
      <c r="H61" s="57" t="s">
        <v>153</v>
      </c>
      <c r="I61" s="102" t="s">
        <v>132</v>
      </c>
      <c r="J61" s="59">
        <v>8000.0</v>
      </c>
      <c r="K61" s="95">
        <v>8000.0</v>
      </c>
      <c r="L61" s="96">
        <f t="shared" si="7"/>
        <v>0</v>
      </c>
      <c r="M61" s="97"/>
    </row>
    <row r="62" ht="21.75" customHeight="1">
      <c r="A62" s="111" t="s">
        <v>758</v>
      </c>
      <c r="B62" s="78" t="s">
        <v>126</v>
      </c>
      <c r="C62" s="51" t="s">
        <v>745</v>
      </c>
      <c r="D62" s="51" t="s">
        <v>746</v>
      </c>
      <c r="E62" s="51" t="s">
        <v>759</v>
      </c>
      <c r="F62" s="51"/>
      <c r="G62" s="51" t="s">
        <v>75</v>
      </c>
      <c r="H62" s="51" t="s">
        <v>696</v>
      </c>
      <c r="I62" s="113" t="s">
        <v>127</v>
      </c>
      <c r="J62" s="53">
        <v>22499.99</v>
      </c>
      <c r="K62" s="95">
        <v>15900.0</v>
      </c>
      <c r="L62" s="100">
        <f t="shared" si="7"/>
        <v>0.2933330193</v>
      </c>
      <c r="M62" s="101"/>
    </row>
    <row r="63" ht="24.0" customHeight="1">
      <c r="A63" s="109" t="s">
        <v>760</v>
      </c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5"/>
    </row>
    <row r="64" ht="21.75" customHeight="1">
      <c r="A64" s="110" t="s">
        <v>761</v>
      </c>
      <c r="B64" s="74" t="s">
        <v>762</v>
      </c>
      <c r="C64" s="57" t="s">
        <v>609</v>
      </c>
      <c r="D64" s="57" t="s">
        <v>763</v>
      </c>
      <c r="E64" s="57" t="s">
        <v>764</v>
      </c>
      <c r="F64" s="57"/>
      <c r="G64" s="57" t="s">
        <v>75</v>
      </c>
      <c r="H64" s="57" t="s">
        <v>153</v>
      </c>
      <c r="I64" s="102" t="s">
        <v>132</v>
      </c>
      <c r="J64" s="59">
        <v>610.9</v>
      </c>
      <c r="K64" s="95">
        <v>497.94</v>
      </c>
      <c r="L64" s="96">
        <f t="shared" ref="L64:L72" si="8">IF(J64&gt;0,(J64-K64)/J64,"")</f>
        <v>0.1849075135</v>
      </c>
      <c r="M64" s="97"/>
    </row>
    <row r="65" ht="21.75" customHeight="1">
      <c r="A65" s="111" t="s">
        <v>765</v>
      </c>
      <c r="B65" s="78" t="s">
        <v>766</v>
      </c>
      <c r="C65" s="51" t="s">
        <v>609</v>
      </c>
      <c r="D65" s="51" t="s">
        <v>763</v>
      </c>
      <c r="E65" s="51" t="s">
        <v>767</v>
      </c>
      <c r="F65" s="51"/>
      <c r="G65" s="51" t="s">
        <v>75</v>
      </c>
      <c r="H65" s="51" t="s">
        <v>153</v>
      </c>
      <c r="I65" s="102" t="s">
        <v>132</v>
      </c>
      <c r="J65" s="53">
        <v>478.8</v>
      </c>
      <c r="K65" s="95">
        <v>425.0</v>
      </c>
      <c r="L65" s="100">
        <f t="shared" si="8"/>
        <v>0.1123642439</v>
      </c>
      <c r="M65" s="101"/>
    </row>
    <row r="66" ht="21.75" customHeight="1">
      <c r="A66" s="110" t="s">
        <v>768</v>
      </c>
      <c r="B66" s="74" t="s">
        <v>766</v>
      </c>
      <c r="C66" s="57" t="s">
        <v>609</v>
      </c>
      <c r="D66" s="57" t="s">
        <v>763</v>
      </c>
      <c r="E66" s="57" t="s">
        <v>769</v>
      </c>
      <c r="F66" s="57"/>
      <c r="G66" s="57" t="s">
        <v>75</v>
      </c>
      <c r="H66" s="57" t="s">
        <v>153</v>
      </c>
      <c r="I66" s="102" t="s">
        <v>132</v>
      </c>
      <c r="J66" s="59">
        <v>478.8</v>
      </c>
      <c r="K66" s="95">
        <v>425.0</v>
      </c>
      <c r="L66" s="96">
        <f t="shared" si="8"/>
        <v>0.1123642439</v>
      </c>
      <c r="M66" s="97"/>
    </row>
    <row r="67" ht="21.75" customHeight="1">
      <c r="A67" s="111" t="s">
        <v>770</v>
      </c>
      <c r="B67" s="78" t="s">
        <v>766</v>
      </c>
      <c r="C67" s="51" t="s">
        <v>609</v>
      </c>
      <c r="D67" s="51" t="s">
        <v>763</v>
      </c>
      <c r="E67" s="51" t="s">
        <v>771</v>
      </c>
      <c r="F67" s="51"/>
      <c r="G67" s="51" t="s">
        <v>75</v>
      </c>
      <c r="H67" s="51" t="s">
        <v>153</v>
      </c>
      <c r="I67" s="102" t="s">
        <v>132</v>
      </c>
      <c r="J67" s="53">
        <v>478.8</v>
      </c>
      <c r="K67" s="95">
        <v>425.0</v>
      </c>
      <c r="L67" s="100">
        <f t="shared" si="8"/>
        <v>0.1123642439</v>
      </c>
      <c r="M67" s="101"/>
    </row>
    <row r="68" ht="21.75" customHeight="1">
      <c r="A68" s="110" t="s">
        <v>772</v>
      </c>
      <c r="B68" s="74" t="s">
        <v>766</v>
      </c>
      <c r="C68" s="57" t="s">
        <v>609</v>
      </c>
      <c r="D68" s="57" t="s">
        <v>763</v>
      </c>
      <c r="E68" s="57" t="s">
        <v>773</v>
      </c>
      <c r="F68" s="57"/>
      <c r="G68" s="57" t="s">
        <v>75</v>
      </c>
      <c r="H68" s="57" t="s">
        <v>153</v>
      </c>
      <c r="I68" s="102" t="s">
        <v>132</v>
      </c>
      <c r="J68" s="59">
        <v>478.8</v>
      </c>
      <c r="K68" s="95">
        <v>425.0</v>
      </c>
      <c r="L68" s="96">
        <f t="shared" si="8"/>
        <v>0.1123642439</v>
      </c>
      <c r="M68" s="97"/>
    </row>
    <row r="69" ht="21.75" customHeight="1">
      <c r="A69" s="111" t="s">
        <v>774</v>
      </c>
      <c r="B69" s="78" t="s">
        <v>766</v>
      </c>
      <c r="C69" s="51" t="s">
        <v>609</v>
      </c>
      <c r="D69" s="51" t="s">
        <v>763</v>
      </c>
      <c r="E69" s="51" t="s">
        <v>775</v>
      </c>
      <c r="F69" s="51"/>
      <c r="G69" s="51" t="s">
        <v>75</v>
      </c>
      <c r="H69" s="51" t="s">
        <v>153</v>
      </c>
      <c r="I69" s="102" t="s">
        <v>132</v>
      </c>
      <c r="J69" s="53">
        <v>478.8</v>
      </c>
      <c r="K69" s="95">
        <v>425.0</v>
      </c>
      <c r="L69" s="100">
        <f t="shared" si="8"/>
        <v>0.1123642439</v>
      </c>
      <c r="M69" s="101"/>
    </row>
    <row r="70" ht="21.75" customHeight="1">
      <c r="A70" s="110" t="s">
        <v>776</v>
      </c>
      <c r="B70" s="74" t="s">
        <v>777</v>
      </c>
      <c r="C70" s="57" t="s">
        <v>609</v>
      </c>
      <c r="D70" s="57" t="s">
        <v>763</v>
      </c>
      <c r="E70" s="57" t="s">
        <v>778</v>
      </c>
      <c r="F70" s="57"/>
      <c r="G70" s="57" t="s">
        <v>75</v>
      </c>
      <c r="H70" s="57" t="s">
        <v>153</v>
      </c>
      <c r="I70" s="102" t="s">
        <v>132</v>
      </c>
      <c r="J70" s="59">
        <v>478.8</v>
      </c>
      <c r="K70" s="95">
        <v>435.0</v>
      </c>
      <c r="L70" s="96">
        <f t="shared" si="8"/>
        <v>0.09147869674</v>
      </c>
      <c r="M70" s="97"/>
    </row>
    <row r="71" ht="21.75" customHeight="1">
      <c r="A71" s="111" t="s">
        <v>779</v>
      </c>
      <c r="B71" s="78" t="s">
        <v>777</v>
      </c>
      <c r="C71" s="51" t="s">
        <v>609</v>
      </c>
      <c r="D71" s="51" t="s">
        <v>763</v>
      </c>
      <c r="E71" s="51" t="s">
        <v>780</v>
      </c>
      <c r="F71" s="51"/>
      <c r="G71" s="51" t="s">
        <v>75</v>
      </c>
      <c r="H71" s="51" t="s">
        <v>153</v>
      </c>
      <c r="I71" s="102" t="s">
        <v>132</v>
      </c>
      <c r="J71" s="53">
        <v>478.8</v>
      </c>
      <c r="K71" s="95">
        <v>435.0</v>
      </c>
      <c r="L71" s="100">
        <f t="shared" si="8"/>
        <v>0.09147869674</v>
      </c>
      <c r="M71" s="101"/>
    </row>
    <row r="72" ht="21.75" customHeight="1">
      <c r="A72" s="110" t="s">
        <v>781</v>
      </c>
      <c r="B72" s="74" t="s">
        <v>777</v>
      </c>
      <c r="C72" s="57" t="s">
        <v>609</v>
      </c>
      <c r="D72" s="57" t="s">
        <v>763</v>
      </c>
      <c r="E72" s="57" t="s">
        <v>782</v>
      </c>
      <c r="F72" s="57"/>
      <c r="G72" s="57" t="s">
        <v>75</v>
      </c>
      <c r="H72" s="57" t="s">
        <v>153</v>
      </c>
      <c r="I72" s="102" t="s">
        <v>132</v>
      </c>
      <c r="J72" s="59">
        <v>478.8</v>
      </c>
      <c r="K72" s="95">
        <v>435.0</v>
      </c>
      <c r="L72" s="96">
        <f t="shared" si="8"/>
        <v>0.09147869674</v>
      </c>
      <c r="M72" s="97"/>
    </row>
    <row r="73" ht="24.0" customHeight="1">
      <c r="A73" s="109" t="s">
        <v>783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5"/>
    </row>
    <row r="74" ht="21.75" customHeight="1">
      <c r="A74" s="111" t="s">
        <v>784</v>
      </c>
      <c r="B74" s="78" t="s">
        <v>785</v>
      </c>
      <c r="C74" s="51" t="s">
        <v>786</v>
      </c>
      <c r="D74" s="51" t="s">
        <v>787</v>
      </c>
      <c r="E74" s="51" t="s">
        <v>788</v>
      </c>
      <c r="F74" s="51"/>
      <c r="G74" s="51" t="s">
        <v>75</v>
      </c>
      <c r="H74" s="51" t="s">
        <v>153</v>
      </c>
      <c r="I74" s="102" t="s">
        <v>132</v>
      </c>
      <c r="J74" s="53">
        <v>1790.0</v>
      </c>
      <c r="K74" s="95">
        <v>2229.49</v>
      </c>
      <c r="L74" s="100">
        <f t="shared" ref="L74:L76" si="9">IF(J74&gt;0,(J74-K74)/J74,"")</f>
        <v>-0.2455251397</v>
      </c>
      <c r="M74" s="101"/>
    </row>
    <row r="75" ht="21.75" customHeight="1">
      <c r="A75" s="110" t="s">
        <v>789</v>
      </c>
      <c r="B75" s="74" t="s">
        <v>785</v>
      </c>
      <c r="C75" s="57" t="s">
        <v>786</v>
      </c>
      <c r="D75" s="57" t="s">
        <v>787</v>
      </c>
      <c r="E75" s="57" t="s">
        <v>790</v>
      </c>
      <c r="F75" s="57"/>
      <c r="G75" s="57" t="s">
        <v>75</v>
      </c>
      <c r="H75" s="57" t="s">
        <v>153</v>
      </c>
      <c r="I75" s="102" t="s">
        <v>132</v>
      </c>
      <c r="J75" s="59">
        <v>1790.0</v>
      </c>
      <c r="K75" s="95">
        <v>2229.49</v>
      </c>
      <c r="L75" s="96">
        <f t="shared" si="9"/>
        <v>-0.2455251397</v>
      </c>
      <c r="M75" s="97"/>
    </row>
    <row r="76" ht="21.75" customHeight="1">
      <c r="A76" s="111" t="s">
        <v>791</v>
      </c>
      <c r="B76" s="78" t="s">
        <v>792</v>
      </c>
      <c r="C76" s="51" t="s">
        <v>745</v>
      </c>
      <c r="D76" s="51" t="s">
        <v>787</v>
      </c>
      <c r="E76" s="51" t="s">
        <v>793</v>
      </c>
      <c r="F76" s="51"/>
      <c r="G76" s="51" t="s">
        <v>75</v>
      </c>
      <c r="H76" s="51" t="s">
        <v>153</v>
      </c>
      <c r="I76" s="102" t="s">
        <v>132</v>
      </c>
      <c r="J76" s="53">
        <v>1790.0</v>
      </c>
      <c r="K76" s="95">
        <v>2229.49</v>
      </c>
      <c r="L76" s="100">
        <f t="shared" si="9"/>
        <v>-0.2455251397</v>
      </c>
      <c r="M76" s="101"/>
    </row>
    <row r="77" ht="24.0" customHeight="1">
      <c r="A77" s="109" t="s">
        <v>794</v>
      </c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5"/>
    </row>
    <row r="78" ht="21.75" customHeight="1">
      <c r="A78" s="110" t="s">
        <v>795</v>
      </c>
      <c r="B78" s="74" t="s">
        <v>796</v>
      </c>
      <c r="C78" s="57" t="s">
        <v>609</v>
      </c>
      <c r="D78" s="57" t="s">
        <v>797</v>
      </c>
      <c r="E78" s="57" t="s">
        <v>798</v>
      </c>
      <c r="F78" s="57"/>
      <c r="G78" s="57" t="s">
        <v>75</v>
      </c>
      <c r="H78" s="57" t="s">
        <v>153</v>
      </c>
      <c r="I78" s="102" t="s">
        <v>132</v>
      </c>
      <c r="J78" s="59">
        <v>1733.16</v>
      </c>
      <c r="K78" s="95">
        <v>1200.0</v>
      </c>
      <c r="L78" s="96">
        <f t="shared" ref="L78:L79" si="10">IF(J78&gt;0,(J78-K78)/J78,"")</f>
        <v>0.30762307</v>
      </c>
      <c r="M78" s="97"/>
    </row>
    <row r="79" ht="21.75" customHeight="1">
      <c r="A79" s="111" t="s">
        <v>799</v>
      </c>
      <c r="B79" s="78" t="s">
        <v>796</v>
      </c>
      <c r="C79" s="51" t="s">
        <v>609</v>
      </c>
      <c r="D79" s="51" t="s">
        <v>797</v>
      </c>
      <c r="E79" s="51" t="s">
        <v>800</v>
      </c>
      <c r="F79" s="51"/>
      <c r="G79" s="51" t="s">
        <v>75</v>
      </c>
      <c r="H79" s="51" t="s">
        <v>153</v>
      </c>
      <c r="I79" s="102" t="s">
        <v>132</v>
      </c>
      <c r="J79" s="53">
        <v>1733.16</v>
      </c>
      <c r="K79" s="95">
        <v>1200.0</v>
      </c>
      <c r="L79" s="100">
        <f t="shared" si="10"/>
        <v>0.30762307</v>
      </c>
      <c r="M79" s="101"/>
    </row>
    <row r="80" ht="24.0" customHeight="1">
      <c r="A80" s="109" t="s">
        <v>801</v>
      </c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5"/>
    </row>
    <row r="81" ht="21.75" customHeight="1">
      <c r="A81" s="110" t="s">
        <v>802</v>
      </c>
      <c r="B81" s="74" t="s">
        <v>803</v>
      </c>
      <c r="C81" s="57" t="s">
        <v>804</v>
      </c>
      <c r="D81" s="57" t="s">
        <v>805</v>
      </c>
      <c r="E81" s="57"/>
      <c r="F81" s="57"/>
      <c r="G81" s="57" t="s">
        <v>75</v>
      </c>
      <c r="H81" s="57" t="s">
        <v>153</v>
      </c>
      <c r="I81" s="102" t="s">
        <v>132</v>
      </c>
      <c r="J81" s="59">
        <v>2299.0</v>
      </c>
      <c r="K81" s="95">
        <v>219.97</v>
      </c>
      <c r="L81" s="96">
        <f>IF(J81&gt;0,(J81-K81)/J81,"")</f>
        <v>0.9043192692</v>
      </c>
      <c r="M81" s="97"/>
    </row>
    <row r="82" ht="24.0" customHeight="1">
      <c r="A82" s="109" t="s">
        <v>806</v>
      </c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5"/>
    </row>
    <row r="83" ht="21.75" customHeight="1">
      <c r="A83" s="111" t="s">
        <v>807</v>
      </c>
      <c r="B83" s="78" t="s">
        <v>808</v>
      </c>
      <c r="C83" s="51" t="s">
        <v>669</v>
      </c>
      <c r="D83" s="51" t="s">
        <v>809</v>
      </c>
      <c r="E83" s="51" t="s">
        <v>810</v>
      </c>
      <c r="F83" s="51"/>
      <c r="G83" s="51" t="s">
        <v>75</v>
      </c>
      <c r="H83" s="51" t="s">
        <v>153</v>
      </c>
      <c r="I83" s="102" t="s">
        <v>132</v>
      </c>
      <c r="J83" s="53">
        <v>2299.0</v>
      </c>
      <c r="K83" s="95">
        <v>2088.0</v>
      </c>
      <c r="L83" s="100">
        <f>IF(J83&gt;0,(J83-K83)/J83,"")</f>
        <v>0.09177903436</v>
      </c>
      <c r="M83" s="101"/>
    </row>
    <row r="84" ht="24.0" customHeight="1">
      <c r="A84" s="109" t="s">
        <v>811</v>
      </c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5"/>
    </row>
    <row r="85" ht="21.75" customHeight="1">
      <c r="A85" s="110" t="s">
        <v>812</v>
      </c>
      <c r="B85" s="74" t="s">
        <v>813</v>
      </c>
      <c r="C85" s="57" t="s">
        <v>814</v>
      </c>
      <c r="D85" s="57" t="s">
        <v>815</v>
      </c>
      <c r="E85" s="57"/>
      <c r="F85" s="57"/>
      <c r="G85" s="57" t="s">
        <v>75</v>
      </c>
      <c r="H85" s="57" t="s">
        <v>153</v>
      </c>
      <c r="I85" s="102" t="s">
        <v>132</v>
      </c>
      <c r="J85" s="59">
        <v>2490.0</v>
      </c>
      <c r="K85" s="95">
        <v>2490.0</v>
      </c>
      <c r="L85" s="96">
        <f t="shared" ref="L85:L87" si="11">IF(J85&gt;0,(J85-K85)/J85,"")</f>
        <v>0</v>
      </c>
      <c r="M85" s="97"/>
    </row>
    <row r="86" ht="36.0" customHeight="1">
      <c r="A86" s="111" t="s">
        <v>816</v>
      </c>
      <c r="B86" s="78" t="s">
        <v>817</v>
      </c>
      <c r="C86" s="51" t="s">
        <v>605</v>
      </c>
      <c r="D86" s="51" t="s">
        <v>815</v>
      </c>
      <c r="E86" s="51" t="s">
        <v>818</v>
      </c>
      <c r="F86" s="51"/>
      <c r="G86" s="51" t="s">
        <v>75</v>
      </c>
      <c r="H86" s="51" t="s">
        <v>153</v>
      </c>
      <c r="I86" s="102" t="s">
        <v>132</v>
      </c>
      <c r="J86" s="53">
        <v>4500.0</v>
      </c>
      <c r="K86" s="95">
        <v>4500.0</v>
      </c>
      <c r="L86" s="100">
        <f t="shared" si="11"/>
        <v>0</v>
      </c>
      <c r="M86" s="101" t="s">
        <v>819</v>
      </c>
    </row>
    <row r="87" ht="36.0" customHeight="1">
      <c r="A87" s="110" t="s">
        <v>820</v>
      </c>
      <c r="B87" s="74" t="s">
        <v>821</v>
      </c>
      <c r="C87" s="57" t="s">
        <v>605</v>
      </c>
      <c r="D87" s="57" t="s">
        <v>815</v>
      </c>
      <c r="E87" s="57" t="s">
        <v>822</v>
      </c>
      <c r="F87" s="57"/>
      <c r="G87" s="57" t="s">
        <v>75</v>
      </c>
      <c r="H87" s="57" t="s">
        <v>153</v>
      </c>
      <c r="I87" s="102" t="s">
        <v>132</v>
      </c>
      <c r="J87" s="59">
        <v>2632.15</v>
      </c>
      <c r="K87" s="95">
        <v>3666.0</v>
      </c>
      <c r="L87" s="96">
        <f t="shared" si="11"/>
        <v>-0.3927777672</v>
      </c>
      <c r="M87" s="97" t="s">
        <v>823</v>
      </c>
    </row>
    <row r="88" ht="24.0" customHeight="1">
      <c r="A88" s="109" t="s">
        <v>824</v>
      </c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5"/>
    </row>
    <row r="89" ht="21.75" customHeight="1">
      <c r="A89" s="111" t="s">
        <v>825</v>
      </c>
      <c r="B89" s="78" t="s">
        <v>826</v>
      </c>
      <c r="C89" s="51" t="s">
        <v>827</v>
      </c>
      <c r="D89" s="51" t="s">
        <v>828</v>
      </c>
      <c r="E89" s="51"/>
      <c r="F89" s="51"/>
      <c r="G89" s="51" t="s">
        <v>75</v>
      </c>
      <c r="H89" s="51" t="s">
        <v>153</v>
      </c>
      <c r="I89" s="102" t="s">
        <v>132</v>
      </c>
      <c r="J89" s="53">
        <v>2299.0</v>
      </c>
      <c r="K89" s="95">
        <v>2088.0</v>
      </c>
      <c r="L89" s="100">
        <f t="shared" ref="L89:L90" si="12">IF(J89&gt;0,(J89-K89)/J89,"")</f>
        <v>0.09177903436</v>
      </c>
      <c r="M89" s="101"/>
    </row>
    <row r="90" ht="21.75" customHeight="1">
      <c r="A90" s="110" t="s">
        <v>829</v>
      </c>
      <c r="B90" s="74" t="s">
        <v>826</v>
      </c>
      <c r="C90" s="57" t="s">
        <v>827</v>
      </c>
      <c r="D90" s="57" t="s">
        <v>828</v>
      </c>
      <c r="E90" s="57"/>
      <c r="F90" s="57"/>
      <c r="G90" s="57" t="s">
        <v>75</v>
      </c>
      <c r="H90" s="57" t="s">
        <v>153</v>
      </c>
      <c r="I90" s="102" t="s">
        <v>132</v>
      </c>
      <c r="J90" s="59">
        <v>2299.0</v>
      </c>
      <c r="K90" s="95">
        <v>2088.0</v>
      </c>
      <c r="L90" s="96">
        <f t="shared" si="12"/>
        <v>0.09177903436</v>
      </c>
      <c r="M90" s="97"/>
    </row>
    <row r="91" ht="24.0" customHeight="1">
      <c r="A91" s="109" t="s">
        <v>830</v>
      </c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5"/>
    </row>
    <row r="92" ht="21.75" customHeight="1">
      <c r="A92" s="111" t="s">
        <v>831</v>
      </c>
      <c r="B92" s="78" t="s">
        <v>832</v>
      </c>
      <c r="C92" s="51" t="s">
        <v>687</v>
      </c>
      <c r="D92" s="51" t="s">
        <v>833</v>
      </c>
      <c r="E92" s="51" t="s">
        <v>834</v>
      </c>
      <c r="F92" s="51"/>
      <c r="G92" s="51" t="s">
        <v>75</v>
      </c>
      <c r="H92" s="51" t="s">
        <v>153</v>
      </c>
      <c r="I92" s="102" t="s">
        <v>132</v>
      </c>
      <c r="J92" s="53">
        <v>10990.0</v>
      </c>
      <c r="K92" s="95">
        <v>9998.0</v>
      </c>
      <c r="L92" s="100">
        <f t="shared" ref="L92:L93" si="13">IF(J92&gt;0,(J92-K92)/J92,"")</f>
        <v>0.09026387625</v>
      </c>
      <c r="M92" s="101"/>
    </row>
    <row r="93" ht="21.75" customHeight="1">
      <c r="A93" s="110" t="s">
        <v>835</v>
      </c>
      <c r="B93" s="74" t="s">
        <v>832</v>
      </c>
      <c r="C93" s="57" t="s">
        <v>687</v>
      </c>
      <c r="D93" s="57" t="s">
        <v>833</v>
      </c>
      <c r="E93" s="57" t="s">
        <v>836</v>
      </c>
      <c r="F93" s="57"/>
      <c r="G93" s="57" t="s">
        <v>75</v>
      </c>
      <c r="H93" s="57" t="s">
        <v>153</v>
      </c>
      <c r="I93" s="102" t="s">
        <v>132</v>
      </c>
      <c r="J93" s="59">
        <v>10990.0</v>
      </c>
      <c r="K93" s="95">
        <v>9998.0</v>
      </c>
      <c r="L93" s="96">
        <f t="shared" si="13"/>
        <v>0.09026387625</v>
      </c>
      <c r="M93" s="97"/>
    </row>
    <row r="94" ht="24.0" customHeight="1">
      <c r="A94" s="109" t="s">
        <v>837</v>
      </c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5"/>
    </row>
    <row r="95" ht="21.75" customHeight="1">
      <c r="A95" s="111" t="s">
        <v>838</v>
      </c>
      <c r="B95" s="78" t="s">
        <v>839</v>
      </c>
      <c r="C95" s="51" t="s">
        <v>609</v>
      </c>
      <c r="D95" s="51" t="s">
        <v>840</v>
      </c>
      <c r="E95" s="51" t="s">
        <v>841</v>
      </c>
      <c r="F95" s="51"/>
      <c r="G95" s="51" t="s">
        <v>75</v>
      </c>
      <c r="H95" s="51" t="s">
        <v>153</v>
      </c>
      <c r="I95" s="99" t="s">
        <v>81</v>
      </c>
      <c r="J95" s="53">
        <v>1400.0</v>
      </c>
      <c r="K95" s="95">
        <v>1399.9</v>
      </c>
      <c r="L95" s="100">
        <f t="shared" ref="L95:L101" si="14">IF(J95&gt;0,(J95-K95)/J95,"")</f>
        <v>0.00007142857143</v>
      </c>
      <c r="M95" s="101"/>
    </row>
    <row r="96" ht="21.75" customHeight="1">
      <c r="A96" s="110" t="s">
        <v>842</v>
      </c>
      <c r="B96" s="74" t="s">
        <v>843</v>
      </c>
      <c r="C96" s="57" t="s">
        <v>609</v>
      </c>
      <c r="D96" s="57" t="s">
        <v>840</v>
      </c>
      <c r="E96" s="57" t="s">
        <v>844</v>
      </c>
      <c r="F96" s="57"/>
      <c r="G96" s="57" t="s">
        <v>75</v>
      </c>
      <c r="H96" s="57" t="s">
        <v>153</v>
      </c>
      <c r="I96" s="102" t="s">
        <v>132</v>
      </c>
      <c r="J96" s="59">
        <v>300.0</v>
      </c>
      <c r="K96" s="95">
        <v>300.0</v>
      </c>
      <c r="L96" s="96">
        <f t="shared" si="14"/>
        <v>0</v>
      </c>
      <c r="M96" s="97"/>
    </row>
    <row r="97" ht="21.75" customHeight="1">
      <c r="A97" s="111" t="s">
        <v>845</v>
      </c>
      <c r="B97" s="78" t="s">
        <v>846</v>
      </c>
      <c r="C97" s="51" t="s">
        <v>694</v>
      </c>
      <c r="D97" s="51" t="s">
        <v>840</v>
      </c>
      <c r="E97" s="51"/>
      <c r="F97" s="51"/>
      <c r="G97" s="51" t="s">
        <v>75</v>
      </c>
      <c r="H97" s="51" t="s">
        <v>153</v>
      </c>
      <c r="I97" s="102" t="s">
        <v>132</v>
      </c>
      <c r="J97" s="53">
        <v>1849.0</v>
      </c>
      <c r="K97" s="95">
        <v>2249.9</v>
      </c>
      <c r="L97" s="100">
        <f t="shared" si="14"/>
        <v>-0.2168199027</v>
      </c>
      <c r="M97" s="101"/>
    </row>
    <row r="98" ht="21.75" customHeight="1">
      <c r="A98" s="110" t="s">
        <v>847</v>
      </c>
      <c r="B98" s="74" t="s">
        <v>848</v>
      </c>
      <c r="C98" s="57" t="s">
        <v>849</v>
      </c>
      <c r="D98" s="57" t="s">
        <v>840</v>
      </c>
      <c r="E98" s="57"/>
      <c r="F98" s="57"/>
      <c r="G98" s="57" t="s">
        <v>75</v>
      </c>
      <c r="H98" s="57" t="s">
        <v>153</v>
      </c>
      <c r="I98" s="102" t="s">
        <v>132</v>
      </c>
      <c r="J98" s="59">
        <v>1849.0</v>
      </c>
      <c r="K98" s="95">
        <v>2249.9</v>
      </c>
      <c r="L98" s="96">
        <f t="shared" si="14"/>
        <v>-0.2168199027</v>
      </c>
      <c r="M98" s="97"/>
    </row>
    <row r="99" ht="21.75" customHeight="1">
      <c r="A99" s="111" t="s">
        <v>850</v>
      </c>
      <c r="B99" s="78" t="s">
        <v>851</v>
      </c>
      <c r="C99" s="51" t="s">
        <v>852</v>
      </c>
      <c r="D99" s="51" t="s">
        <v>840</v>
      </c>
      <c r="E99" s="51" t="s">
        <v>853</v>
      </c>
      <c r="F99" s="51"/>
      <c r="G99" s="51" t="s">
        <v>75</v>
      </c>
      <c r="H99" s="51" t="s">
        <v>153</v>
      </c>
      <c r="I99" s="102" t="s">
        <v>132</v>
      </c>
      <c r="J99" s="53">
        <v>1849.0</v>
      </c>
      <c r="K99" s="95">
        <v>2249.9</v>
      </c>
      <c r="L99" s="100">
        <f t="shared" si="14"/>
        <v>-0.2168199027</v>
      </c>
      <c r="M99" s="101"/>
    </row>
    <row r="100" ht="21.75" customHeight="1">
      <c r="A100" s="110" t="s">
        <v>854</v>
      </c>
      <c r="B100" s="74" t="s">
        <v>855</v>
      </c>
      <c r="C100" s="57" t="s">
        <v>694</v>
      </c>
      <c r="D100" s="57" t="s">
        <v>840</v>
      </c>
      <c r="E100" s="57" t="s">
        <v>856</v>
      </c>
      <c r="F100" s="57"/>
      <c r="G100" s="57" t="s">
        <v>75</v>
      </c>
      <c r="H100" s="57" t="s">
        <v>153</v>
      </c>
      <c r="I100" s="102" t="s">
        <v>132</v>
      </c>
      <c r="J100" s="59">
        <v>4588.96</v>
      </c>
      <c r="K100" s="95">
        <v>2249.9</v>
      </c>
      <c r="L100" s="96">
        <f t="shared" si="14"/>
        <v>0.5097146194</v>
      </c>
      <c r="M100" s="97"/>
    </row>
    <row r="101" ht="21.75" customHeight="1">
      <c r="A101" s="111" t="s">
        <v>857</v>
      </c>
      <c r="B101" s="78" t="s">
        <v>131</v>
      </c>
      <c r="C101" s="51" t="s">
        <v>609</v>
      </c>
      <c r="D101" s="51" t="s">
        <v>840</v>
      </c>
      <c r="E101" s="51" t="s">
        <v>858</v>
      </c>
      <c r="F101" s="51"/>
      <c r="G101" s="51" t="s">
        <v>75</v>
      </c>
      <c r="H101" s="51" t="s">
        <v>153</v>
      </c>
      <c r="I101" s="102" t="s">
        <v>132</v>
      </c>
      <c r="J101" s="53">
        <v>12900.0</v>
      </c>
      <c r="K101" s="95">
        <v>10490.0</v>
      </c>
      <c r="L101" s="100">
        <f t="shared" si="14"/>
        <v>0.1868217054</v>
      </c>
      <c r="M101" s="101"/>
    </row>
    <row r="102" ht="24.0" customHeight="1">
      <c r="A102" s="109" t="s">
        <v>859</v>
      </c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5"/>
    </row>
    <row r="103" ht="21.75" customHeight="1">
      <c r="A103" s="110" t="s">
        <v>860</v>
      </c>
      <c r="B103" s="74" t="s">
        <v>861</v>
      </c>
      <c r="C103" s="57" t="s">
        <v>862</v>
      </c>
      <c r="D103" s="57" t="s">
        <v>863</v>
      </c>
      <c r="E103" s="57"/>
      <c r="F103" s="57"/>
      <c r="G103" s="57" t="s">
        <v>75</v>
      </c>
      <c r="H103" s="57" t="s">
        <v>153</v>
      </c>
      <c r="I103" s="102" t="s">
        <v>132</v>
      </c>
      <c r="J103" s="59">
        <v>301.67</v>
      </c>
      <c r="K103" s="95">
        <v>301.67</v>
      </c>
      <c r="L103" s="96">
        <f>IF(J103&gt;0,(J103-K103)/J103,"")</f>
        <v>0</v>
      </c>
      <c r="M103" s="97"/>
    </row>
    <row r="104" ht="24.0" customHeight="1">
      <c r="A104" s="109" t="s">
        <v>864</v>
      </c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5"/>
    </row>
    <row r="105" ht="21.75" customHeight="1">
      <c r="A105" s="111" t="s">
        <v>865</v>
      </c>
      <c r="B105" s="78" t="s">
        <v>866</v>
      </c>
      <c r="C105" s="51" t="s">
        <v>867</v>
      </c>
      <c r="D105" s="51" t="s">
        <v>868</v>
      </c>
      <c r="E105" s="51"/>
      <c r="F105" s="51"/>
      <c r="G105" s="51" t="s">
        <v>75</v>
      </c>
      <c r="H105" s="51" t="s">
        <v>153</v>
      </c>
      <c r="I105" s="102" t="s">
        <v>132</v>
      </c>
      <c r="J105" s="53">
        <v>1228.0</v>
      </c>
      <c r="K105" s="95">
        <v>1547.0</v>
      </c>
      <c r="L105" s="100">
        <f t="shared" ref="L105:L109" si="15">IF(J105&gt;0,(J105-K105)/J105,"")</f>
        <v>-0.259771987</v>
      </c>
      <c r="M105" s="101"/>
    </row>
    <row r="106" ht="21.75" customHeight="1">
      <c r="A106" s="110" t="s">
        <v>869</v>
      </c>
      <c r="B106" s="74" t="s">
        <v>870</v>
      </c>
      <c r="C106" s="57" t="s">
        <v>663</v>
      </c>
      <c r="D106" s="57" t="s">
        <v>868</v>
      </c>
      <c r="E106" s="57"/>
      <c r="F106" s="57"/>
      <c r="G106" s="57" t="s">
        <v>75</v>
      </c>
      <c r="H106" s="57" t="s">
        <v>153</v>
      </c>
      <c r="I106" s="99" t="s">
        <v>81</v>
      </c>
      <c r="J106" s="59">
        <v>3563.22</v>
      </c>
      <c r="K106" s="95">
        <v>1080.0</v>
      </c>
      <c r="L106" s="96">
        <f t="shared" si="15"/>
        <v>0.6969033627</v>
      </c>
      <c r="M106" s="97"/>
    </row>
    <row r="107" ht="21.75" customHeight="1">
      <c r="A107" s="111" t="s">
        <v>871</v>
      </c>
      <c r="B107" s="78" t="s">
        <v>872</v>
      </c>
      <c r="C107" s="51" t="s">
        <v>663</v>
      </c>
      <c r="D107" s="51" t="s">
        <v>868</v>
      </c>
      <c r="E107" s="51"/>
      <c r="F107" s="51"/>
      <c r="G107" s="51" t="s">
        <v>75</v>
      </c>
      <c r="H107" s="51" t="s">
        <v>153</v>
      </c>
      <c r="I107" s="102" t="s">
        <v>132</v>
      </c>
      <c r="J107" s="53">
        <v>1119.0</v>
      </c>
      <c r="K107" s="95">
        <v>1099.0</v>
      </c>
      <c r="L107" s="100">
        <f t="shared" si="15"/>
        <v>0.01787310098</v>
      </c>
      <c r="M107" s="101"/>
    </row>
    <row r="108" ht="36.0" customHeight="1">
      <c r="A108" s="110" t="s">
        <v>873</v>
      </c>
      <c r="B108" s="74" t="s">
        <v>874</v>
      </c>
      <c r="C108" s="57" t="s">
        <v>663</v>
      </c>
      <c r="D108" s="57" t="s">
        <v>868</v>
      </c>
      <c r="E108" s="57" t="s">
        <v>875</v>
      </c>
      <c r="F108" s="57"/>
      <c r="G108" s="57" t="s">
        <v>75</v>
      </c>
      <c r="H108" s="57" t="s">
        <v>153</v>
      </c>
      <c r="I108" s="102" t="s">
        <v>132</v>
      </c>
      <c r="J108" s="59">
        <v>2712.0</v>
      </c>
      <c r="K108" s="95">
        <v>2712.0</v>
      </c>
      <c r="L108" s="96">
        <f t="shared" si="15"/>
        <v>0</v>
      </c>
      <c r="M108" s="97" t="s">
        <v>876</v>
      </c>
    </row>
    <row r="109" ht="21.75" customHeight="1">
      <c r="A109" s="111" t="s">
        <v>877</v>
      </c>
      <c r="B109" s="78" t="s">
        <v>878</v>
      </c>
      <c r="C109" s="51" t="s">
        <v>649</v>
      </c>
      <c r="D109" s="51" t="s">
        <v>868</v>
      </c>
      <c r="E109" s="51"/>
      <c r="F109" s="51"/>
      <c r="G109" s="51" t="s">
        <v>75</v>
      </c>
      <c r="H109" s="51" t="s">
        <v>153</v>
      </c>
      <c r="I109" s="102" t="s">
        <v>132</v>
      </c>
      <c r="J109" s="53">
        <v>1970.0</v>
      </c>
      <c r="K109" s="95">
        <v>148.0</v>
      </c>
      <c r="L109" s="100">
        <f t="shared" si="15"/>
        <v>0.9248730964</v>
      </c>
      <c r="M109" s="101"/>
    </row>
    <row r="110" ht="24.0" customHeight="1">
      <c r="A110" s="109" t="s">
        <v>879</v>
      </c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5"/>
    </row>
    <row r="111" ht="21.75" customHeight="1">
      <c r="A111" s="110" t="s">
        <v>880</v>
      </c>
      <c r="B111" s="74" t="s">
        <v>881</v>
      </c>
      <c r="C111" s="57"/>
      <c r="D111" s="57" t="s">
        <v>882</v>
      </c>
      <c r="E111" s="57"/>
      <c r="F111" s="57"/>
      <c r="G111" s="57" t="s">
        <v>75</v>
      </c>
      <c r="H111" s="57" t="s">
        <v>153</v>
      </c>
      <c r="I111" s="102" t="s">
        <v>132</v>
      </c>
      <c r="J111" s="59">
        <v>2299.0</v>
      </c>
      <c r="K111" s="95">
        <v>2088.0</v>
      </c>
      <c r="L111" s="96">
        <f>IF(J111&gt;0,(J111-K111)/J111,"")</f>
        <v>0.09177903436</v>
      </c>
      <c r="M111" s="97"/>
    </row>
    <row r="112" ht="24.0" customHeight="1">
      <c r="A112" s="109" t="s">
        <v>883</v>
      </c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5"/>
    </row>
    <row r="113" ht="21.75" customHeight="1">
      <c r="A113" s="111" t="s">
        <v>884</v>
      </c>
      <c r="B113" s="78" t="s">
        <v>885</v>
      </c>
      <c r="C113" s="51" t="s">
        <v>886</v>
      </c>
      <c r="D113" s="51" t="s">
        <v>887</v>
      </c>
      <c r="E113" s="51" t="s">
        <v>888</v>
      </c>
      <c r="F113" s="51"/>
      <c r="G113" s="51" t="s">
        <v>75</v>
      </c>
      <c r="H113" s="51" t="s">
        <v>153</v>
      </c>
      <c r="I113" s="102" t="s">
        <v>132</v>
      </c>
      <c r="J113" s="53">
        <v>1308.5</v>
      </c>
      <c r="K113" s="95">
        <v>3581.65</v>
      </c>
      <c r="L113" s="100">
        <f t="shared" ref="L113:L132" si="16">IF(J113&gt;0,(J113-K113)/J113,"")</f>
        <v>-1.737218189</v>
      </c>
      <c r="M113" s="101"/>
    </row>
    <row r="114" ht="21.75" customHeight="1">
      <c r="A114" s="110" t="s">
        <v>889</v>
      </c>
      <c r="B114" s="74" t="s">
        <v>890</v>
      </c>
      <c r="C114" s="57" t="s">
        <v>605</v>
      </c>
      <c r="D114" s="57" t="s">
        <v>887</v>
      </c>
      <c r="E114" s="57" t="s">
        <v>891</v>
      </c>
      <c r="F114" s="57"/>
      <c r="G114" s="57" t="s">
        <v>75</v>
      </c>
      <c r="H114" s="57" t="s">
        <v>153</v>
      </c>
      <c r="I114" s="102" t="s">
        <v>132</v>
      </c>
      <c r="J114" s="59">
        <v>2233.0</v>
      </c>
      <c r="K114" s="95">
        <v>2233.0</v>
      </c>
      <c r="L114" s="96">
        <f t="shared" si="16"/>
        <v>0</v>
      </c>
      <c r="M114" s="97"/>
    </row>
    <row r="115" ht="21.75" customHeight="1">
      <c r="A115" s="111" t="s">
        <v>892</v>
      </c>
      <c r="B115" s="78" t="s">
        <v>893</v>
      </c>
      <c r="C115" s="51" t="s">
        <v>649</v>
      </c>
      <c r="D115" s="51" t="s">
        <v>887</v>
      </c>
      <c r="E115" s="51" t="s">
        <v>894</v>
      </c>
      <c r="F115" s="51"/>
      <c r="G115" s="51" t="s">
        <v>75</v>
      </c>
      <c r="H115" s="51" t="s">
        <v>153</v>
      </c>
      <c r="I115" s="102" t="s">
        <v>132</v>
      </c>
      <c r="J115" s="53">
        <v>995.0</v>
      </c>
      <c r="K115" s="95">
        <v>995.0</v>
      </c>
      <c r="L115" s="100">
        <f t="shared" si="16"/>
        <v>0</v>
      </c>
      <c r="M115" s="101"/>
    </row>
    <row r="116" ht="21.75" customHeight="1">
      <c r="A116" s="110" t="s">
        <v>895</v>
      </c>
      <c r="B116" s="74" t="s">
        <v>893</v>
      </c>
      <c r="C116" s="57" t="s">
        <v>649</v>
      </c>
      <c r="D116" s="57" t="s">
        <v>887</v>
      </c>
      <c r="E116" s="57" t="s">
        <v>896</v>
      </c>
      <c r="F116" s="57"/>
      <c r="G116" s="57" t="s">
        <v>75</v>
      </c>
      <c r="H116" s="57" t="s">
        <v>153</v>
      </c>
      <c r="I116" s="102" t="s">
        <v>132</v>
      </c>
      <c r="J116" s="59">
        <v>995.0</v>
      </c>
      <c r="K116" s="95">
        <v>995.0</v>
      </c>
      <c r="L116" s="96">
        <f t="shared" si="16"/>
        <v>0</v>
      </c>
      <c r="M116" s="97"/>
    </row>
    <row r="117" ht="21.75" customHeight="1">
      <c r="A117" s="111" t="s">
        <v>897</v>
      </c>
      <c r="B117" s="78" t="s">
        <v>898</v>
      </c>
      <c r="C117" s="51" t="s">
        <v>663</v>
      </c>
      <c r="D117" s="51" t="s">
        <v>887</v>
      </c>
      <c r="E117" s="51" t="s">
        <v>665</v>
      </c>
      <c r="F117" s="51"/>
      <c r="G117" s="51" t="s">
        <v>75</v>
      </c>
      <c r="H117" s="51" t="s">
        <v>153</v>
      </c>
      <c r="I117" s="102" t="s">
        <v>132</v>
      </c>
      <c r="J117" s="53">
        <v>1308.5</v>
      </c>
      <c r="K117" s="95">
        <v>4129.0</v>
      </c>
      <c r="L117" s="100">
        <f t="shared" si="16"/>
        <v>-2.15552159</v>
      </c>
      <c r="M117" s="101"/>
    </row>
    <row r="118" ht="21.75" customHeight="1">
      <c r="A118" s="110" t="s">
        <v>899</v>
      </c>
      <c r="B118" s="74" t="s">
        <v>900</v>
      </c>
      <c r="C118" s="57" t="s">
        <v>649</v>
      </c>
      <c r="D118" s="57" t="s">
        <v>887</v>
      </c>
      <c r="E118" s="57" t="s">
        <v>901</v>
      </c>
      <c r="F118" s="57"/>
      <c r="G118" s="57" t="s">
        <v>75</v>
      </c>
      <c r="H118" s="57" t="s">
        <v>153</v>
      </c>
      <c r="I118" s="102" t="s">
        <v>132</v>
      </c>
      <c r="J118" s="59">
        <v>2250.0</v>
      </c>
      <c r="K118" s="95">
        <v>979.0</v>
      </c>
      <c r="L118" s="96">
        <f t="shared" si="16"/>
        <v>0.5648888889</v>
      </c>
      <c r="M118" s="97"/>
    </row>
    <row r="119" ht="21.75" customHeight="1">
      <c r="A119" s="111" t="s">
        <v>902</v>
      </c>
      <c r="B119" s="78" t="s">
        <v>903</v>
      </c>
      <c r="C119" s="51" t="s">
        <v>649</v>
      </c>
      <c r="D119" s="51" t="s">
        <v>887</v>
      </c>
      <c r="E119" s="51" t="s">
        <v>904</v>
      </c>
      <c r="F119" s="51"/>
      <c r="G119" s="51" t="s">
        <v>75</v>
      </c>
      <c r="H119" s="51" t="s">
        <v>153</v>
      </c>
      <c r="I119" s="102" t="s">
        <v>132</v>
      </c>
      <c r="J119" s="53">
        <v>2750.0</v>
      </c>
      <c r="K119" s="95">
        <v>979.0</v>
      </c>
      <c r="L119" s="100">
        <f t="shared" si="16"/>
        <v>0.644</v>
      </c>
      <c r="M119" s="101"/>
    </row>
    <row r="120" ht="21.75" customHeight="1">
      <c r="A120" s="110" t="s">
        <v>905</v>
      </c>
      <c r="B120" s="74" t="s">
        <v>906</v>
      </c>
      <c r="C120" s="57" t="s">
        <v>649</v>
      </c>
      <c r="D120" s="57" t="s">
        <v>887</v>
      </c>
      <c r="E120" s="57" t="s">
        <v>907</v>
      </c>
      <c r="F120" s="57"/>
      <c r="G120" s="57" t="s">
        <v>75</v>
      </c>
      <c r="H120" s="57" t="s">
        <v>153</v>
      </c>
      <c r="I120" s="102" t="s">
        <v>132</v>
      </c>
      <c r="J120" s="59">
        <v>2750.0</v>
      </c>
      <c r="K120" s="95">
        <v>2750.0</v>
      </c>
      <c r="L120" s="96">
        <f t="shared" si="16"/>
        <v>0</v>
      </c>
      <c r="M120" s="97"/>
    </row>
    <row r="121" ht="21.75" customHeight="1">
      <c r="A121" s="111" t="s">
        <v>908</v>
      </c>
      <c r="B121" s="78" t="s">
        <v>909</v>
      </c>
      <c r="C121" s="51" t="s">
        <v>649</v>
      </c>
      <c r="D121" s="51" t="s">
        <v>887</v>
      </c>
      <c r="E121" s="51" t="s">
        <v>910</v>
      </c>
      <c r="F121" s="51"/>
      <c r="G121" s="51" t="s">
        <v>75</v>
      </c>
      <c r="H121" s="51" t="s">
        <v>153</v>
      </c>
      <c r="I121" s="102" t="s">
        <v>132</v>
      </c>
      <c r="J121" s="53">
        <v>2250.0</v>
      </c>
      <c r="K121" s="95">
        <v>2250.0</v>
      </c>
      <c r="L121" s="100">
        <f t="shared" si="16"/>
        <v>0</v>
      </c>
      <c r="M121" s="101"/>
    </row>
    <row r="122" ht="21.75" customHeight="1">
      <c r="A122" s="110" t="s">
        <v>911</v>
      </c>
      <c r="B122" s="74" t="s">
        <v>912</v>
      </c>
      <c r="C122" s="57" t="s">
        <v>649</v>
      </c>
      <c r="D122" s="57" t="s">
        <v>887</v>
      </c>
      <c r="E122" s="57" t="s">
        <v>901</v>
      </c>
      <c r="F122" s="57"/>
      <c r="G122" s="57" t="s">
        <v>75</v>
      </c>
      <c r="H122" s="57" t="s">
        <v>153</v>
      </c>
      <c r="I122" s="102" t="s">
        <v>132</v>
      </c>
      <c r="J122" s="59">
        <v>2250.0</v>
      </c>
      <c r="K122" s="95">
        <v>1247.5</v>
      </c>
      <c r="L122" s="96">
        <f t="shared" si="16"/>
        <v>0.4455555556</v>
      </c>
      <c r="M122" s="97"/>
    </row>
    <row r="123" ht="21.75" customHeight="1">
      <c r="A123" s="111" t="s">
        <v>913</v>
      </c>
      <c r="B123" s="78" t="s">
        <v>914</v>
      </c>
      <c r="C123" s="51" t="s">
        <v>663</v>
      </c>
      <c r="D123" s="51" t="s">
        <v>887</v>
      </c>
      <c r="E123" s="51" t="s">
        <v>915</v>
      </c>
      <c r="F123" s="51"/>
      <c r="G123" s="51" t="s">
        <v>75</v>
      </c>
      <c r="H123" s="51" t="s">
        <v>153</v>
      </c>
      <c r="I123" s="102" t="s">
        <v>132</v>
      </c>
      <c r="J123" s="53">
        <v>1308.5</v>
      </c>
      <c r="K123" s="95">
        <v>334.01</v>
      </c>
      <c r="L123" s="100">
        <f t="shared" si="16"/>
        <v>0.7447382499</v>
      </c>
      <c r="M123" s="101"/>
    </row>
    <row r="124" ht="21.75" customHeight="1">
      <c r="A124" s="110" t="s">
        <v>916</v>
      </c>
      <c r="B124" s="74" t="s">
        <v>649</v>
      </c>
      <c r="C124" s="57" t="s">
        <v>649</v>
      </c>
      <c r="D124" s="57" t="s">
        <v>887</v>
      </c>
      <c r="E124" s="57"/>
      <c r="F124" s="57"/>
      <c r="G124" s="57" t="s">
        <v>75</v>
      </c>
      <c r="H124" s="57" t="s">
        <v>153</v>
      </c>
      <c r="I124" s="102" t="s">
        <v>132</v>
      </c>
      <c r="J124" s="59">
        <v>1500.0</v>
      </c>
      <c r="K124" s="95">
        <v>1500.0</v>
      </c>
      <c r="L124" s="96">
        <f t="shared" si="16"/>
        <v>0</v>
      </c>
      <c r="M124" s="97"/>
    </row>
    <row r="125" ht="21.75" customHeight="1">
      <c r="A125" s="111" t="s">
        <v>917</v>
      </c>
      <c r="B125" s="78" t="s">
        <v>649</v>
      </c>
      <c r="C125" s="51" t="s">
        <v>649</v>
      </c>
      <c r="D125" s="51" t="s">
        <v>887</v>
      </c>
      <c r="E125" s="51"/>
      <c r="F125" s="51"/>
      <c r="G125" s="51" t="s">
        <v>75</v>
      </c>
      <c r="H125" s="51" t="s">
        <v>153</v>
      </c>
      <c r="I125" s="102" t="s">
        <v>132</v>
      </c>
      <c r="J125" s="53">
        <v>1500.0</v>
      </c>
      <c r="K125" s="95">
        <v>1500.0</v>
      </c>
      <c r="L125" s="100">
        <f t="shared" si="16"/>
        <v>0</v>
      </c>
      <c r="M125" s="101"/>
    </row>
    <row r="126" ht="21.75" customHeight="1">
      <c r="A126" s="110" t="s">
        <v>918</v>
      </c>
      <c r="B126" s="74" t="s">
        <v>919</v>
      </c>
      <c r="C126" s="57" t="s">
        <v>663</v>
      </c>
      <c r="D126" s="57" t="s">
        <v>887</v>
      </c>
      <c r="E126" s="57" t="s">
        <v>920</v>
      </c>
      <c r="F126" s="57"/>
      <c r="G126" s="57" t="s">
        <v>75</v>
      </c>
      <c r="H126" s="57" t="s">
        <v>153</v>
      </c>
      <c r="I126" s="102" t="s">
        <v>132</v>
      </c>
      <c r="J126" s="59">
        <v>1308.5</v>
      </c>
      <c r="K126" s="95">
        <v>334.01</v>
      </c>
      <c r="L126" s="96">
        <f t="shared" si="16"/>
        <v>0.7447382499</v>
      </c>
      <c r="M126" s="97"/>
    </row>
    <row r="127" ht="21.75" customHeight="1">
      <c r="A127" s="111" t="s">
        <v>921</v>
      </c>
      <c r="B127" s="78" t="s">
        <v>922</v>
      </c>
      <c r="C127" s="51" t="s">
        <v>605</v>
      </c>
      <c r="D127" s="51" t="s">
        <v>887</v>
      </c>
      <c r="E127" s="51" t="s">
        <v>818</v>
      </c>
      <c r="F127" s="51"/>
      <c r="G127" s="51" t="s">
        <v>75</v>
      </c>
      <c r="H127" s="51" t="s">
        <v>153</v>
      </c>
      <c r="I127" s="102" t="s">
        <v>132</v>
      </c>
      <c r="J127" s="53">
        <v>357.0</v>
      </c>
      <c r="K127" s="95">
        <v>357.0</v>
      </c>
      <c r="L127" s="100">
        <f t="shared" si="16"/>
        <v>0</v>
      </c>
      <c r="M127" s="101"/>
    </row>
    <row r="128" ht="21.75" customHeight="1">
      <c r="A128" s="110" t="s">
        <v>923</v>
      </c>
      <c r="B128" s="74" t="s">
        <v>922</v>
      </c>
      <c r="C128" s="57" t="s">
        <v>605</v>
      </c>
      <c r="D128" s="57" t="s">
        <v>887</v>
      </c>
      <c r="E128" s="57"/>
      <c r="F128" s="57"/>
      <c r="G128" s="57" t="s">
        <v>75</v>
      </c>
      <c r="H128" s="57" t="s">
        <v>153</v>
      </c>
      <c r="I128" s="102" t="s">
        <v>132</v>
      </c>
      <c r="J128" s="59">
        <v>357.0</v>
      </c>
      <c r="K128" s="95">
        <v>357.0</v>
      </c>
      <c r="L128" s="96">
        <f t="shared" si="16"/>
        <v>0</v>
      </c>
      <c r="M128" s="97"/>
    </row>
    <row r="129" ht="36.0" customHeight="1">
      <c r="A129" s="111" t="s">
        <v>924</v>
      </c>
      <c r="B129" s="78" t="s">
        <v>925</v>
      </c>
      <c r="C129" s="51" t="s">
        <v>605</v>
      </c>
      <c r="D129" s="51" t="s">
        <v>887</v>
      </c>
      <c r="E129" s="51" t="s">
        <v>926</v>
      </c>
      <c r="F129" s="51"/>
      <c r="G129" s="51" t="s">
        <v>75</v>
      </c>
      <c r="H129" s="51" t="s">
        <v>153</v>
      </c>
      <c r="I129" s="102" t="s">
        <v>132</v>
      </c>
      <c r="J129" s="53">
        <v>263.17</v>
      </c>
      <c r="K129" s="95">
        <v>263.17</v>
      </c>
      <c r="L129" s="100">
        <f t="shared" si="16"/>
        <v>0</v>
      </c>
      <c r="M129" s="101" t="s">
        <v>927</v>
      </c>
    </row>
    <row r="130" ht="21.75" customHeight="1">
      <c r="A130" s="110" t="s">
        <v>928</v>
      </c>
      <c r="B130" s="74" t="s">
        <v>929</v>
      </c>
      <c r="C130" s="57" t="s">
        <v>605</v>
      </c>
      <c r="D130" s="57" t="s">
        <v>887</v>
      </c>
      <c r="E130" s="57"/>
      <c r="F130" s="57"/>
      <c r="G130" s="57" t="s">
        <v>75</v>
      </c>
      <c r="H130" s="57" t="s">
        <v>153</v>
      </c>
      <c r="I130" s="102" t="s">
        <v>132</v>
      </c>
      <c r="J130" s="59">
        <v>357.0</v>
      </c>
      <c r="K130" s="95">
        <v>357.0</v>
      </c>
      <c r="L130" s="96">
        <f t="shared" si="16"/>
        <v>0</v>
      </c>
      <c r="M130" s="97"/>
    </row>
    <row r="131" ht="21.75" customHeight="1">
      <c r="A131" s="111" t="s">
        <v>930</v>
      </c>
      <c r="B131" s="78" t="s">
        <v>931</v>
      </c>
      <c r="C131" s="51" t="s">
        <v>605</v>
      </c>
      <c r="D131" s="51" t="s">
        <v>887</v>
      </c>
      <c r="E131" s="51"/>
      <c r="F131" s="51"/>
      <c r="G131" s="51" t="s">
        <v>75</v>
      </c>
      <c r="H131" s="51" t="s">
        <v>153</v>
      </c>
      <c r="I131" s="102" t="s">
        <v>132</v>
      </c>
      <c r="J131" s="53">
        <v>357.0</v>
      </c>
      <c r="K131" s="95">
        <v>357.0</v>
      </c>
      <c r="L131" s="100">
        <f t="shared" si="16"/>
        <v>0</v>
      </c>
      <c r="M131" s="101"/>
    </row>
    <row r="132" ht="21.75" customHeight="1">
      <c r="A132" s="110" t="s">
        <v>932</v>
      </c>
      <c r="B132" s="74" t="s">
        <v>931</v>
      </c>
      <c r="C132" s="57" t="s">
        <v>605</v>
      </c>
      <c r="D132" s="57" t="s">
        <v>887</v>
      </c>
      <c r="E132" s="57"/>
      <c r="F132" s="57"/>
      <c r="G132" s="57" t="s">
        <v>75</v>
      </c>
      <c r="H132" s="57" t="s">
        <v>153</v>
      </c>
      <c r="I132" s="102" t="s">
        <v>132</v>
      </c>
      <c r="J132" s="59">
        <v>357.0</v>
      </c>
      <c r="K132" s="95">
        <v>357.0</v>
      </c>
      <c r="L132" s="96">
        <f t="shared" si="16"/>
        <v>0</v>
      </c>
      <c r="M132" s="97"/>
    </row>
    <row r="133" ht="24.0" customHeight="1">
      <c r="A133" s="109" t="s">
        <v>933</v>
      </c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5"/>
    </row>
    <row r="134" ht="21.75" customHeight="1">
      <c r="A134" s="111" t="s">
        <v>934</v>
      </c>
      <c r="B134" s="78" t="s">
        <v>935</v>
      </c>
      <c r="C134" s="51" t="s">
        <v>745</v>
      </c>
      <c r="D134" s="51" t="s">
        <v>936</v>
      </c>
      <c r="E134" s="51" t="s">
        <v>937</v>
      </c>
      <c r="F134" s="51"/>
      <c r="G134" s="51" t="s">
        <v>75</v>
      </c>
      <c r="H134" s="51" t="s">
        <v>153</v>
      </c>
      <c r="I134" s="102" t="s">
        <v>132</v>
      </c>
      <c r="J134" s="53">
        <v>3500.0</v>
      </c>
      <c r="K134" s="95">
        <v>1700.0</v>
      </c>
      <c r="L134" s="100">
        <f>IF(J134&gt;0,(J134-K134)/J134,"")</f>
        <v>0.5142857143</v>
      </c>
      <c r="M134" s="101"/>
    </row>
    <row r="135" ht="24.0" customHeight="1">
      <c r="A135" s="109" t="s">
        <v>938</v>
      </c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5"/>
    </row>
    <row r="136" ht="21.75" customHeight="1">
      <c r="A136" s="110" t="s">
        <v>939</v>
      </c>
      <c r="B136" s="74" t="s">
        <v>940</v>
      </c>
      <c r="C136" s="57" t="s">
        <v>941</v>
      </c>
      <c r="D136" s="57" t="s">
        <v>942</v>
      </c>
      <c r="E136" s="57" t="s">
        <v>943</v>
      </c>
      <c r="F136" s="57"/>
      <c r="G136" s="57" t="s">
        <v>75</v>
      </c>
      <c r="H136" s="57" t="s">
        <v>696</v>
      </c>
      <c r="I136" s="113" t="s">
        <v>127</v>
      </c>
      <c r="J136" s="59">
        <v>3554.0</v>
      </c>
      <c r="K136" s="95">
        <v>1924.19</v>
      </c>
      <c r="L136" s="96">
        <f>IF(J136&gt;0,(J136-K136)/J136,"")</f>
        <v>0.4585846933</v>
      </c>
      <c r="M136" s="97"/>
    </row>
    <row r="137" ht="24.0" customHeight="1">
      <c r="A137" s="109" t="s">
        <v>944</v>
      </c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5"/>
    </row>
    <row r="138" ht="21.75" customHeight="1">
      <c r="A138" s="111" t="s">
        <v>945</v>
      </c>
      <c r="B138" s="78" t="s">
        <v>946</v>
      </c>
      <c r="C138" s="51" t="s">
        <v>947</v>
      </c>
      <c r="D138" s="51" t="s">
        <v>948</v>
      </c>
      <c r="E138" s="51"/>
      <c r="F138" s="51"/>
      <c r="G138" s="51" t="s">
        <v>75</v>
      </c>
      <c r="H138" s="51" t="s">
        <v>153</v>
      </c>
      <c r="I138" s="99" t="s">
        <v>81</v>
      </c>
      <c r="J138" s="53">
        <v>4598.0</v>
      </c>
      <c r="K138" s="95">
        <v>3267.0</v>
      </c>
      <c r="L138" s="100">
        <f>IF(J138&gt;0,(J138-K138)/J138,"")</f>
        <v>0.2894736842</v>
      </c>
      <c r="M138" s="101"/>
    </row>
    <row r="139" ht="24.0" customHeight="1">
      <c r="A139" s="109" t="s">
        <v>949</v>
      </c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5"/>
    </row>
    <row r="140" ht="21.75" customHeight="1">
      <c r="A140" s="110" t="s">
        <v>950</v>
      </c>
      <c r="B140" s="74" t="s">
        <v>951</v>
      </c>
      <c r="C140" s="57" t="s">
        <v>605</v>
      </c>
      <c r="D140" s="57" t="s">
        <v>952</v>
      </c>
      <c r="E140" s="57" t="s">
        <v>641</v>
      </c>
      <c r="F140" s="57"/>
      <c r="G140" s="57" t="s">
        <v>75</v>
      </c>
      <c r="H140" s="57" t="s">
        <v>153</v>
      </c>
      <c r="I140" s="102" t="s">
        <v>132</v>
      </c>
      <c r="J140" s="59">
        <v>790.0</v>
      </c>
      <c r="K140" s="95">
        <v>995.0</v>
      </c>
      <c r="L140" s="96">
        <f>IF(J140&gt;0,(J140-K140)/J140,"")</f>
        <v>-0.2594936709</v>
      </c>
      <c r="M140" s="97"/>
    </row>
    <row r="141" ht="24.0" customHeight="1">
      <c r="A141" s="109" t="s">
        <v>953</v>
      </c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5"/>
    </row>
    <row r="142" ht="21.75" customHeight="1">
      <c r="A142" s="111" t="s">
        <v>954</v>
      </c>
      <c r="B142" s="78" t="s">
        <v>955</v>
      </c>
      <c r="C142" s="51" t="s">
        <v>649</v>
      </c>
      <c r="D142" s="51" t="s">
        <v>956</v>
      </c>
      <c r="E142" s="51" t="s">
        <v>910</v>
      </c>
      <c r="F142" s="51"/>
      <c r="G142" s="51" t="s">
        <v>75</v>
      </c>
      <c r="H142" s="51" t="s">
        <v>153</v>
      </c>
      <c r="I142" s="102" t="s">
        <v>132</v>
      </c>
      <c r="J142" s="53">
        <v>790.0</v>
      </c>
      <c r="K142" s="95">
        <v>995.0</v>
      </c>
      <c r="L142" s="100">
        <f t="shared" ref="L142:L154" si="17">IF(J142&gt;0,(J142-K142)/J142,"")</f>
        <v>-0.2594936709</v>
      </c>
      <c r="M142" s="101"/>
    </row>
    <row r="143" ht="21.75" customHeight="1">
      <c r="A143" s="110" t="s">
        <v>957</v>
      </c>
      <c r="B143" s="74" t="s">
        <v>958</v>
      </c>
      <c r="C143" s="57" t="s">
        <v>649</v>
      </c>
      <c r="D143" s="57" t="s">
        <v>956</v>
      </c>
      <c r="E143" s="57" t="s">
        <v>959</v>
      </c>
      <c r="F143" s="57"/>
      <c r="G143" s="57" t="s">
        <v>75</v>
      </c>
      <c r="H143" s="57" t="s">
        <v>153</v>
      </c>
      <c r="I143" s="102" t="s">
        <v>132</v>
      </c>
      <c r="J143" s="59">
        <v>790.0</v>
      </c>
      <c r="K143" s="95">
        <v>995.0</v>
      </c>
      <c r="L143" s="96">
        <f t="shared" si="17"/>
        <v>-0.2594936709</v>
      </c>
      <c r="M143" s="97"/>
    </row>
    <row r="144" ht="21.75" customHeight="1">
      <c r="A144" s="111" t="s">
        <v>960</v>
      </c>
      <c r="B144" s="78" t="s">
        <v>961</v>
      </c>
      <c r="C144" s="51" t="s">
        <v>649</v>
      </c>
      <c r="D144" s="51" t="s">
        <v>956</v>
      </c>
      <c r="E144" s="51" t="s">
        <v>962</v>
      </c>
      <c r="F144" s="51"/>
      <c r="G144" s="51" t="s">
        <v>75</v>
      </c>
      <c r="H144" s="51" t="s">
        <v>153</v>
      </c>
      <c r="I144" s="102" t="s">
        <v>132</v>
      </c>
      <c r="J144" s="53">
        <v>790.0</v>
      </c>
      <c r="K144" s="95">
        <v>790.0</v>
      </c>
      <c r="L144" s="100">
        <f t="shared" si="17"/>
        <v>0</v>
      </c>
      <c r="M144" s="101"/>
    </row>
    <row r="145" ht="21.75" customHeight="1">
      <c r="A145" s="110" t="s">
        <v>963</v>
      </c>
      <c r="B145" s="74" t="s">
        <v>961</v>
      </c>
      <c r="C145" s="57" t="s">
        <v>649</v>
      </c>
      <c r="D145" s="57" t="s">
        <v>956</v>
      </c>
      <c r="E145" s="57" t="s">
        <v>964</v>
      </c>
      <c r="F145" s="57"/>
      <c r="G145" s="57" t="s">
        <v>75</v>
      </c>
      <c r="H145" s="57" t="s">
        <v>153</v>
      </c>
      <c r="I145" s="102" t="s">
        <v>132</v>
      </c>
      <c r="J145" s="59">
        <v>790.0</v>
      </c>
      <c r="K145" s="95">
        <v>790.0</v>
      </c>
      <c r="L145" s="96">
        <f t="shared" si="17"/>
        <v>0</v>
      </c>
      <c r="M145" s="97"/>
    </row>
    <row r="146" ht="21.75" customHeight="1">
      <c r="A146" s="111" t="s">
        <v>965</v>
      </c>
      <c r="B146" s="78" t="s">
        <v>961</v>
      </c>
      <c r="C146" s="51" t="s">
        <v>649</v>
      </c>
      <c r="D146" s="51" t="s">
        <v>956</v>
      </c>
      <c r="E146" s="51" t="s">
        <v>966</v>
      </c>
      <c r="F146" s="51"/>
      <c r="G146" s="51" t="s">
        <v>75</v>
      </c>
      <c r="H146" s="51" t="s">
        <v>153</v>
      </c>
      <c r="I146" s="102" t="s">
        <v>132</v>
      </c>
      <c r="J146" s="53">
        <v>790.0</v>
      </c>
      <c r="K146" s="95">
        <v>790.0</v>
      </c>
      <c r="L146" s="100">
        <f t="shared" si="17"/>
        <v>0</v>
      </c>
      <c r="M146" s="101"/>
    </row>
    <row r="147" ht="21.75" customHeight="1">
      <c r="A147" s="110" t="s">
        <v>967</v>
      </c>
      <c r="B147" s="74" t="s">
        <v>968</v>
      </c>
      <c r="C147" s="57" t="s">
        <v>649</v>
      </c>
      <c r="D147" s="57" t="s">
        <v>956</v>
      </c>
      <c r="E147" s="57" t="s">
        <v>969</v>
      </c>
      <c r="F147" s="57"/>
      <c r="G147" s="57" t="s">
        <v>75</v>
      </c>
      <c r="H147" s="57" t="s">
        <v>153</v>
      </c>
      <c r="I147" s="102" t="s">
        <v>132</v>
      </c>
      <c r="J147" s="59">
        <v>790.0</v>
      </c>
      <c r="K147" s="95">
        <v>790.0</v>
      </c>
      <c r="L147" s="96">
        <f t="shared" si="17"/>
        <v>0</v>
      </c>
      <c r="M147" s="97"/>
    </row>
    <row r="148" ht="21.75" customHeight="1">
      <c r="A148" s="111" t="s">
        <v>970</v>
      </c>
      <c r="B148" s="78" t="s">
        <v>971</v>
      </c>
      <c r="C148" s="51" t="s">
        <v>649</v>
      </c>
      <c r="D148" s="51" t="s">
        <v>956</v>
      </c>
      <c r="E148" s="51" t="s">
        <v>972</v>
      </c>
      <c r="F148" s="51"/>
      <c r="G148" s="51" t="s">
        <v>75</v>
      </c>
      <c r="H148" s="51" t="s">
        <v>153</v>
      </c>
      <c r="I148" s="102" t="s">
        <v>132</v>
      </c>
      <c r="J148" s="53">
        <v>790.0</v>
      </c>
      <c r="K148" s="95">
        <v>995.0</v>
      </c>
      <c r="L148" s="100">
        <f t="shared" si="17"/>
        <v>-0.2594936709</v>
      </c>
      <c r="M148" s="101"/>
    </row>
    <row r="149" ht="21.75" customHeight="1">
      <c r="A149" s="110" t="s">
        <v>973</v>
      </c>
      <c r="B149" s="74" t="s">
        <v>971</v>
      </c>
      <c r="C149" s="57" t="s">
        <v>649</v>
      </c>
      <c r="D149" s="57" t="s">
        <v>956</v>
      </c>
      <c r="E149" s="57" t="s">
        <v>974</v>
      </c>
      <c r="F149" s="57"/>
      <c r="G149" s="57" t="s">
        <v>75</v>
      </c>
      <c r="H149" s="57" t="s">
        <v>153</v>
      </c>
      <c r="I149" s="102" t="s">
        <v>132</v>
      </c>
      <c r="J149" s="59">
        <v>790.0</v>
      </c>
      <c r="K149" s="95">
        <v>995.0</v>
      </c>
      <c r="L149" s="96">
        <f t="shared" si="17"/>
        <v>-0.2594936709</v>
      </c>
      <c r="M149" s="97"/>
    </row>
    <row r="150" ht="21.75" customHeight="1">
      <c r="A150" s="111" t="s">
        <v>975</v>
      </c>
      <c r="B150" s="78" t="s">
        <v>976</v>
      </c>
      <c r="C150" s="51" t="s">
        <v>649</v>
      </c>
      <c r="D150" s="51" t="s">
        <v>956</v>
      </c>
      <c r="E150" s="51" t="s">
        <v>977</v>
      </c>
      <c r="F150" s="51"/>
      <c r="G150" s="51" t="s">
        <v>75</v>
      </c>
      <c r="H150" s="51" t="s">
        <v>153</v>
      </c>
      <c r="I150" s="102" t="s">
        <v>132</v>
      </c>
      <c r="J150" s="53">
        <v>1185.0</v>
      </c>
      <c r="K150" s="95">
        <v>995.0</v>
      </c>
      <c r="L150" s="100">
        <f t="shared" si="17"/>
        <v>0.1603375527</v>
      </c>
      <c r="M150" s="101"/>
    </row>
    <row r="151" ht="21.75" customHeight="1">
      <c r="A151" s="110" t="s">
        <v>978</v>
      </c>
      <c r="B151" s="74" t="s">
        <v>979</v>
      </c>
      <c r="C151" s="57" t="s">
        <v>663</v>
      </c>
      <c r="D151" s="57" t="s">
        <v>956</v>
      </c>
      <c r="E151" s="57" t="s">
        <v>980</v>
      </c>
      <c r="F151" s="57"/>
      <c r="G151" s="57" t="s">
        <v>75</v>
      </c>
      <c r="H151" s="57" t="s">
        <v>153</v>
      </c>
      <c r="I151" s="102" t="s">
        <v>132</v>
      </c>
      <c r="J151" s="59">
        <v>237.0</v>
      </c>
      <c r="K151" s="95">
        <v>360.87</v>
      </c>
      <c r="L151" s="96">
        <f t="shared" si="17"/>
        <v>-0.5226582278</v>
      </c>
      <c r="M151" s="97"/>
    </row>
    <row r="152" ht="21.75" customHeight="1">
      <c r="A152" s="111" t="s">
        <v>981</v>
      </c>
      <c r="B152" s="78" t="s">
        <v>979</v>
      </c>
      <c r="C152" s="51" t="s">
        <v>663</v>
      </c>
      <c r="D152" s="51" t="s">
        <v>956</v>
      </c>
      <c r="E152" s="51" t="s">
        <v>982</v>
      </c>
      <c r="F152" s="51"/>
      <c r="G152" s="51" t="s">
        <v>75</v>
      </c>
      <c r="H152" s="51" t="s">
        <v>153</v>
      </c>
      <c r="I152" s="102" t="s">
        <v>132</v>
      </c>
      <c r="J152" s="53">
        <v>237.0</v>
      </c>
      <c r="K152" s="95">
        <v>360.87</v>
      </c>
      <c r="L152" s="100">
        <f t="shared" si="17"/>
        <v>-0.5226582278</v>
      </c>
      <c r="M152" s="101"/>
    </row>
    <row r="153" ht="21.75" customHeight="1">
      <c r="A153" s="110" t="s">
        <v>983</v>
      </c>
      <c r="B153" s="74" t="s">
        <v>984</v>
      </c>
      <c r="C153" s="57" t="s">
        <v>862</v>
      </c>
      <c r="D153" s="57" t="s">
        <v>956</v>
      </c>
      <c r="E153" s="57" t="s">
        <v>985</v>
      </c>
      <c r="F153" s="57"/>
      <c r="G153" s="57" t="s">
        <v>75</v>
      </c>
      <c r="H153" s="57" t="s">
        <v>153</v>
      </c>
      <c r="I153" s="102" t="s">
        <v>132</v>
      </c>
      <c r="J153" s="59">
        <v>790.0</v>
      </c>
      <c r="K153" s="95">
        <v>995.0</v>
      </c>
      <c r="L153" s="96">
        <f t="shared" si="17"/>
        <v>-0.2594936709</v>
      </c>
      <c r="M153" s="97"/>
    </row>
    <row r="154" ht="21.75" customHeight="1">
      <c r="A154" s="111" t="s">
        <v>986</v>
      </c>
      <c r="B154" s="78" t="s">
        <v>987</v>
      </c>
      <c r="C154" s="51" t="s">
        <v>649</v>
      </c>
      <c r="D154" s="51" t="s">
        <v>956</v>
      </c>
      <c r="E154" s="51" t="s">
        <v>988</v>
      </c>
      <c r="F154" s="51"/>
      <c r="G154" s="51" t="s">
        <v>75</v>
      </c>
      <c r="H154" s="51" t="s">
        <v>153</v>
      </c>
      <c r="I154" s="102" t="s">
        <v>132</v>
      </c>
      <c r="J154" s="53">
        <v>252.65</v>
      </c>
      <c r="K154" s="95">
        <v>470.65</v>
      </c>
      <c r="L154" s="100">
        <f t="shared" si="17"/>
        <v>-0.8628537502</v>
      </c>
      <c r="M154" s="101"/>
    </row>
    <row r="155" ht="24.0" customHeight="1">
      <c r="A155" s="109" t="s">
        <v>989</v>
      </c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5"/>
    </row>
    <row r="156" ht="21.75" customHeight="1">
      <c r="A156" s="110" t="s">
        <v>990</v>
      </c>
      <c r="B156" s="74" t="s">
        <v>991</v>
      </c>
      <c r="C156" s="57" t="s">
        <v>992</v>
      </c>
      <c r="D156" s="57" t="s">
        <v>993</v>
      </c>
      <c r="E156" s="57" t="s">
        <v>994</v>
      </c>
      <c r="F156" s="57"/>
      <c r="G156" s="57" t="s">
        <v>75</v>
      </c>
      <c r="H156" s="57" t="s">
        <v>153</v>
      </c>
      <c r="I156" s="102" t="s">
        <v>132</v>
      </c>
      <c r="J156" s="59">
        <v>1670.0</v>
      </c>
      <c r="K156" s="95">
        <v>1670.0</v>
      </c>
      <c r="L156" s="96">
        <f t="shared" ref="L156:L157" si="18">IF(J156&gt;0,(J156-K156)/J156,"")</f>
        <v>0</v>
      </c>
      <c r="M156" s="97"/>
    </row>
    <row r="157" ht="21.75" customHeight="1">
      <c r="A157" s="111" t="s">
        <v>995</v>
      </c>
      <c r="B157" s="78" t="s">
        <v>996</v>
      </c>
      <c r="C157" s="51" t="s">
        <v>992</v>
      </c>
      <c r="D157" s="51" t="s">
        <v>993</v>
      </c>
      <c r="E157" s="51" t="s">
        <v>997</v>
      </c>
      <c r="F157" s="51"/>
      <c r="G157" s="51" t="s">
        <v>75</v>
      </c>
      <c r="H157" s="51" t="s">
        <v>153</v>
      </c>
      <c r="I157" s="102" t="s">
        <v>132</v>
      </c>
      <c r="J157" s="53">
        <v>1670.0</v>
      </c>
      <c r="K157" s="95">
        <v>1670.0</v>
      </c>
      <c r="L157" s="100">
        <f t="shared" si="18"/>
        <v>0</v>
      </c>
      <c r="M157" s="101"/>
    </row>
    <row r="158" ht="24.0" customHeight="1">
      <c r="A158" s="109" t="s">
        <v>998</v>
      </c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5"/>
    </row>
    <row r="159" ht="21.75" customHeight="1">
      <c r="A159" s="110" t="s">
        <v>999</v>
      </c>
      <c r="B159" s="74" t="s">
        <v>130</v>
      </c>
      <c r="C159" s="57" t="s">
        <v>703</v>
      </c>
      <c r="D159" s="57" t="s">
        <v>1000</v>
      </c>
      <c r="E159" s="57" t="s">
        <v>1001</v>
      </c>
      <c r="F159" s="57"/>
      <c r="G159" s="57" t="s">
        <v>75</v>
      </c>
      <c r="H159" s="57" t="s">
        <v>696</v>
      </c>
      <c r="I159" s="113" t="s">
        <v>127</v>
      </c>
      <c r="J159" s="59">
        <v>13500.0</v>
      </c>
      <c r="K159" s="95">
        <v>13500.0</v>
      </c>
      <c r="L159" s="96">
        <f t="shared" ref="L159:L163" si="19">IF(J159&gt;0,(J159-K159)/J159,"")</f>
        <v>0</v>
      </c>
      <c r="M159" s="97"/>
    </row>
    <row r="160" ht="36.0" customHeight="1">
      <c r="A160" s="111" t="s">
        <v>1002</v>
      </c>
      <c r="B160" s="78" t="s">
        <v>128</v>
      </c>
      <c r="C160" s="51" t="s">
        <v>687</v>
      </c>
      <c r="D160" s="51" t="s">
        <v>1000</v>
      </c>
      <c r="E160" s="51" t="s">
        <v>1003</v>
      </c>
      <c r="F160" s="51"/>
      <c r="G160" s="51" t="s">
        <v>75</v>
      </c>
      <c r="H160" s="51" t="s">
        <v>696</v>
      </c>
      <c r="I160" s="113" t="s">
        <v>127</v>
      </c>
      <c r="J160" s="53">
        <v>19990.0</v>
      </c>
      <c r="K160" s="95">
        <v>26246.0</v>
      </c>
      <c r="L160" s="100">
        <f t="shared" si="19"/>
        <v>-0.3129564782</v>
      </c>
      <c r="M160" s="101" t="s">
        <v>1004</v>
      </c>
    </row>
    <row r="161" ht="36.0" customHeight="1">
      <c r="A161" s="110" t="s">
        <v>1005</v>
      </c>
      <c r="B161" s="74" t="s">
        <v>1006</v>
      </c>
      <c r="C161" s="57" t="s">
        <v>1007</v>
      </c>
      <c r="D161" s="57" t="s">
        <v>1000</v>
      </c>
      <c r="E161" s="57" t="s">
        <v>1008</v>
      </c>
      <c r="F161" s="57"/>
      <c r="G161" s="57" t="s">
        <v>75</v>
      </c>
      <c r="H161" s="57" t="s">
        <v>153</v>
      </c>
      <c r="I161" s="99" t="s">
        <v>81</v>
      </c>
      <c r="J161" s="59">
        <v>6347.08</v>
      </c>
      <c r="K161" s="95">
        <v>5095.75</v>
      </c>
      <c r="L161" s="96">
        <f t="shared" si="19"/>
        <v>0.1971505007</v>
      </c>
      <c r="M161" s="97" t="s">
        <v>1009</v>
      </c>
    </row>
    <row r="162" ht="21.75" customHeight="1">
      <c r="A162" s="111" t="s">
        <v>1010</v>
      </c>
      <c r="B162" s="78" t="s">
        <v>1011</v>
      </c>
      <c r="C162" s="51" t="s">
        <v>694</v>
      </c>
      <c r="D162" s="51" t="s">
        <v>1000</v>
      </c>
      <c r="E162" s="51" t="s">
        <v>1012</v>
      </c>
      <c r="F162" s="51"/>
      <c r="G162" s="51" t="s">
        <v>75</v>
      </c>
      <c r="H162" s="51" t="s">
        <v>696</v>
      </c>
      <c r="I162" s="113" t="s">
        <v>127</v>
      </c>
      <c r="J162" s="53">
        <v>10300.0</v>
      </c>
      <c r="K162" s="95">
        <v>6373.43</v>
      </c>
      <c r="L162" s="100">
        <f t="shared" si="19"/>
        <v>0.3812203883</v>
      </c>
      <c r="M162" s="101"/>
    </row>
    <row r="163" ht="36.0" customHeight="1">
      <c r="A163" s="110" t="s">
        <v>1013</v>
      </c>
      <c r="B163" s="74" t="s">
        <v>1011</v>
      </c>
      <c r="C163" s="57" t="s">
        <v>694</v>
      </c>
      <c r="D163" s="57" t="s">
        <v>1000</v>
      </c>
      <c r="E163" s="57"/>
      <c r="F163" s="57"/>
      <c r="G163" s="57" t="s">
        <v>75</v>
      </c>
      <c r="H163" s="57" t="s">
        <v>153</v>
      </c>
      <c r="I163" s="99" t="s">
        <v>81</v>
      </c>
      <c r="J163" s="59">
        <v>10300.0</v>
      </c>
      <c r="K163" s="95">
        <v>6373.43</v>
      </c>
      <c r="L163" s="96">
        <f t="shared" si="19"/>
        <v>0.3812203883</v>
      </c>
      <c r="M163" s="97" t="s">
        <v>1009</v>
      </c>
    </row>
    <row r="164" ht="15.75" customHeight="1">
      <c r="G164" s="56"/>
      <c r="H164" s="56"/>
      <c r="I164" s="56"/>
    </row>
    <row r="165" ht="25.5" customHeight="1">
      <c r="A165" s="103" t="s">
        <v>1014</v>
      </c>
      <c r="B165" s="104"/>
      <c r="C165" s="104"/>
      <c r="D165" s="104"/>
      <c r="E165" s="104"/>
      <c r="F165" s="105"/>
      <c r="G165" s="106"/>
      <c r="H165" s="106"/>
      <c r="I165" s="106"/>
      <c r="J165" s="107">
        <v>616854.39</v>
      </c>
      <c r="K165" s="106"/>
      <c r="L165" s="106"/>
      <c r="M165" s="106"/>
    </row>
    <row r="166" ht="15.75" customHeight="1">
      <c r="G166" s="56"/>
      <c r="H166" s="56"/>
      <c r="I166" s="56"/>
    </row>
    <row r="167" ht="18.0" customHeight="1">
      <c r="A167" s="32" t="s">
        <v>72</v>
      </c>
    </row>
    <row r="168" ht="15.75" customHeight="1">
      <c r="G168" s="56"/>
      <c r="H168" s="56"/>
      <c r="I168" s="56"/>
    </row>
    <row r="169" ht="15.75" customHeight="1">
      <c r="G169" s="56"/>
      <c r="H169" s="56"/>
      <c r="I169" s="56"/>
    </row>
    <row r="170" ht="15.75" customHeight="1">
      <c r="G170" s="56"/>
      <c r="H170" s="56"/>
      <c r="I170" s="56"/>
    </row>
    <row r="171" ht="15.75" customHeight="1">
      <c r="G171" s="56"/>
      <c r="H171" s="56"/>
      <c r="I171" s="56"/>
    </row>
    <row r="172" ht="15.75" customHeight="1">
      <c r="G172" s="56"/>
      <c r="H172" s="56"/>
      <c r="I172" s="56"/>
    </row>
    <row r="173" ht="15.75" customHeight="1">
      <c r="G173" s="56"/>
      <c r="H173" s="56"/>
      <c r="I173" s="56"/>
    </row>
    <row r="174" ht="15.75" customHeight="1">
      <c r="G174" s="56"/>
      <c r="H174" s="56"/>
      <c r="I174" s="56"/>
    </row>
    <row r="175" ht="15.75" customHeight="1">
      <c r="G175" s="56"/>
      <c r="H175" s="56"/>
      <c r="I175" s="56"/>
    </row>
    <row r="176" ht="15.75" customHeight="1">
      <c r="G176" s="56"/>
      <c r="H176" s="56"/>
      <c r="I176" s="56"/>
    </row>
    <row r="177" ht="15.75" customHeight="1">
      <c r="G177" s="56"/>
      <c r="H177" s="56"/>
      <c r="I177" s="56"/>
    </row>
    <row r="178" ht="15.75" customHeight="1">
      <c r="G178" s="56"/>
      <c r="H178" s="56"/>
      <c r="I178" s="56"/>
    </row>
    <row r="179" ht="15.75" customHeight="1">
      <c r="G179" s="56"/>
      <c r="H179" s="56"/>
      <c r="I179" s="56"/>
    </row>
    <row r="180" ht="15.75" customHeight="1">
      <c r="G180" s="56"/>
      <c r="H180" s="56"/>
      <c r="I180" s="56"/>
    </row>
    <row r="181" ht="15.75" customHeight="1">
      <c r="G181" s="56"/>
      <c r="H181" s="56"/>
      <c r="I181" s="56"/>
    </row>
    <row r="182" ht="15.75" customHeight="1">
      <c r="G182" s="56"/>
      <c r="H182" s="56"/>
      <c r="I182" s="56"/>
    </row>
    <row r="183" ht="15.75" customHeight="1">
      <c r="G183" s="56"/>
      <c r="H183" s="56"/>
      <c r="I183" s="56"/>
    </row>
    <row r="184" ht="15.75" customHeight="1">
      <c r="G184" s="56"/>
      <c r="H184" s="56"/>
      <c r="I184" s="56"/>
    </row>
    <row r="185" ht="15.75" customHeight="1">
      <c r="G185" s="56"/>
      <c r="H185" s="56"/>
      <c r="I185" s="56"/>
    </row>
    <row r="186" ht="15.75" customHeight="1">
      <c r="G186" s="56"/>
      <c r="H186" s="56"/>
      <c r="I186" s="56"/>
    </row>
    <row r="187" ht="15.75" customHeight="1">
      <c r="G187" s="56"/>
      <c r="H187" s="56"/>
      <c r="I187" s="56"/>
    </row>
    <row r="188" ht="15.75" customHeight="1">
      <c r="G188" s="56"/>
      <c r="H188" s="56"/>
      <c r="I188" s="56"/>
    </row>
    <row r="189" ht="15.75" customHeight="1">
      <c r="G189" s="56"/>
      <c r="H189" s="56"/>
      <c r="I189" s="56"/>
    </row>
    <row r="190" ht="15.75" customHeight="1">
      <c r="G190" s="56"/>
      <c r="H190" s="56"/>
      <c r="I190" s="56"/>
    </row>
    <row r="191" ht="15.75" customHeight="1">
      <c r="G191" s="56"/>
      <c r="H191" s="56"/>
      <c r="I191" s="56"/>
    </row>
    <row r="192" ht="15.75" customHeight="1">
      <c r="G192" s="56"/>
      <c r="H192" s="56"/>
      <c r="I192" s="56"/>
    </row>
    <row r="193" ht="15.75" customHeight="1">
      <c r="G193" s="56"/>
      <c r="H193" s="56"/>
      <c r="I193" s="56"/>
    </row>
    <row r="194" ht="15.75" customHeight="1">
      <c r="G194" s="56"/>
      <c r="H194" s="56"/>
      <c r="I194" s="56"/>
    </row>
    <row r="195" ht="15.75" customHeight="1">
      <c r="G195" s="56"/>
      <c r="H195" s="56"/>
      <c r="I195" s="56"/>
    </row>
    <row r="196" ht="15.75" customHeight="1">
      <c r="G196" s="56"/>
      <c r="H196" s="56"/>
      <c r="I196" s="56"/>
    </row>
    <row r="197" ht="15.75" customHeight="1">
      <c r="G197" s="56"/>
      <c r="H197" s="56"/>
      <c r="I197" s="56"/>
    </row>
    <row r="198" ht="15.75" customHeight="1">
      <c r="G198" s="56"/>
      <c r="H198" s="56"/>
      <c r="I198" s="56"/>
    </row>
    <row r="199" ht="15.75" customHeight="1">
      <c r="G199" s="56"/>
      <c r="H199" s="56"/>
      <c r="I199" s="56"/>
    </row>
    <row r="200" ht="15.75" customHeight="1">
      <c r="G200" s="56"/>
      <c r="H200" s="56"/>
      <c r="I200" s="56"/>
    </row>
    <row r="201" ht="15.75" customHeight="1">
      <c r="G201" s="56"/>
      <c r="H201" s="56"/>
      <c r="I201" s="56"/>
    </row>
    <row r="202" ht="15.75" customHeight="1">
      <c r="G202" s="56"/>
      <c r="H202" s="56"/>
      <c r="I202" s="56"/>
    </row>
    <row r="203" ht="15.75" customHeight="1">
      <c r="G203" s="56"/>
      <c r="H203" s="56"/>
      <c r="I203" s="56"/>
    </row>
    <row r="204" ht="15.75" customHeight="1">
      <c r="G204" s="56"/>
      <c r="H204" s="56"/>
      <c r="I204" s="56"/>
    </row>
    <row r="205" ht="15.75" customHeight="1">
      <c r="G205" s="56"/>
      <c r="H205" s="56"/>
      <c r="I205" s="56"/>
    </row>
    <row r="206" ht="15.75" customHeight="1">
      <c r="G206" s="56"/>
      <c r="H206" s="56"/>
      <c r="I206" s="56"/>
    </row>
    <row r="207" ht="15.75" customHeight="1">
      <c r="G207" s="56"/>
      <c r="H207" s="56"/>
      <c r="I207" s="56"/>
    </row>
    <row r="208" ht="15.75" customHeight="1">
      <c r="G208" s="56"/>
      <c r="H208" s="56"/>
      <c r="I208" s="56"/>
    </row>
    <row r="209" ht="15.75" customHeight="1">
      <c r="G209" s="56"/>
      <c r="H209" s="56"/>
      <c r="I209" s="56"/>
    </row>
    <row r="210" ht="15.75" customHeight="1">
      <c r="G210" s="56"/>
      <c r="H210" s="56"/>
      <c r="I210" s="56"/>
    </row>
    <row r="211" ht="15.75" customHeight="1">
      <c r="G211" s="56"/>
      <c r="H211" s="56"/>
      <c r="I211" s="56"/>
    </row>
    <row r="212" ht="15.75" customHeight="1">
      <c r="G212" s="56"/>
      <c r="H212" s="56"/>
      <c r="I212" s="56"/>
    </row>
    <row r="213" ht="15.75" customHeight="1">
      <c r="G213" s="56"/>
      <c r="H213" s="56"/>
      <c r="I213" s="56"/>
    </row>
    <row r="214" ht="15.75" customHeight="1">
      <c r="G214" s="56"/>
      <c r="H214" s="56"/>
      <c r="I214" s="56"/>
    </row>
    <row r="215" ht="15.75" customHeight="1">
      <c r="G215" s="56"/>
      <c r="H215" s="56"/>
      <c r="I215" s="56"/>
    </row>
    <row r="216" ht="15.75" customHeight="1">
      <c r="G216" s="56"/>
      <c r="H216" s="56"/>
      <c r="I216" s="56"/>
    </row>
    <row r="217" ht="15.75" customHeight="1">
      <c r="G217" s="56"/>
      <c r="H217" s="56"/>
      <c r="I217" s="56"/>
    </row>
    <row r="218" ht="15.75" customHeight="1">
      <c r="G218" s="56"/>
      <c r="H218" s="56"/>
      <c r="I218" s="56"/>
    </row>
    <row r="219" ht="15.75" customHeight="1">
      <c r="G219" s="56"/>
      <c r="H219" s="56"/>
      <c r="I219" s="56"/>
    </row>
    <row r="220" ht="15.75" customHeight="1">
      <c r="G220" s="56"/>
      <c r="H220" s="56"/>
      <c r="I220" s="56"/>
    </row>
    <row r="221" ht="15.75" customHeight="1">
      <c r="G221" s="56"/>
      <c r="H221" s="56"/>
      <c r="I221" s="56"/>
    </row>
    <row r="222" ht="15.75" customHeight="1">
      <c r="G222" s="56"/>
      <c r="H222" s="56"/>
      <c r="I222" s="56"/>
    </row>
    <row r="223" ht="15.75" customHeight="1">
      <c r="G223" s="56"/>
      <c r="H223" s="56"/>
      <c r="I223" s="56"/>
    </row>
    <row r="224" ht="15.75" customHeight="1">
      <c r="G224" s="56"/>
      <c r="H224" s="56"/>
      <c r="I224" s="56"/>
    </row>
    <row r="225" ht="15.75" customHeight="1">
      <c r="G225" s="56"/>
      <c r="H225" s="56"/>
      <c r="I225" s="56"/>
    </row>
    <row r="226" ht="15.75" customHeight="1">
      <c r="G226" s="56"/>
      <c r="H226" s="56"/>
      <c r="I226" s="56"/>
    </row>
    <row r="227" ht="15.75" customHeight="1">
      <c r="G227" s="56"/>
      <c r="H227" s="56"/>
      <c r="I227" s="56"/>
    </row>
    <row r="228" ht="15.75" customHeight="1">
      <c r="G228" s="56"/>
      <c r="H228" s="56"/>
      <c r="I228" s="56"/>
    </row>
    <row r="229" ht="15.75" customHeight="1">
      <c r="G229" s="56"/>
      <c r="H229" s="56"/>
      <c r="I229" s="56"/>
    </row>
    <row r="230" ht="15.75" customHeight="1">
      <c r="G230" s="56"/>
      <c r="H230" s="56"/>
      <c r="I230" s="56"/>
    </row>
    <row r="231" ht="15.75" customHeight="1">
      <c r="G231" s="56"/>
      <c r="H231" s="56"/>
      <c r="I231" s="56"/>
    </row>
    <row r="232" ht="15.75" customHeight="1">
      <c r="G232" s="56"/>
      <c r="H232" s="56"/>
      <c r="I232" s="56"/>
    </row>
    <row r="233" ht="15.75" customHeight="1">
      <c r="G233" s="56"/>
      <c r="H233" s="56"/>
      <c r="I233" s="56"/>
    </row>
    <row r="234" ht="15.75" customHeight="1">
      <c r="G234" s="56"/>
      <c r="H234" s="56"/>
      <c r="I234" s="56"/>
    </row>
    <row r="235" ht="15.75" customHeight="1">
      <c r="G235" s="56"/>
      <c r="H235" s="56"/>
      <c r="I235" s="56"/>
    </row>
    <row r="236" ht="15.75" customHeight="1">
      <c r="G236" s="56"/>
      <c r="H236" s="56"/>
      <c r="I236" s="56"/>
    </row>
    <row r="237" ht="15.75" customHeight="1">
      <c r="G237" s="56"/>
      <c r="H237" s="56"/>
      <c r="I237" s="56"/>
    </row>
    <row r="238" ht="15.75" customHeight="1">
      <c r="G238" s="56"/>
      <c r="H238" s="56"/>
      <c r="I238" s="56"/>
    </row>
    <row r="239" ht="15.75" customHeight="1">
      <c r="G239" s="56"/>
      <c r="H239" s="56"/>
      <c r="I239" s="56"/>
    </row>
    <row r="240" ht="15.75" customHeight="1">
      <c r="G240" s="56"/>
      <c r="H240" s="56"/>
      <c r="I240" s="56"/>
    </row>
    <row r="241" ht="15.75" customHeight="1">
      <c r="G241" s="56"/>
      <c r="H241" s="56"/>
      <c r="I241" s="56"/>
    </row>
    <row r="242" ht="15.75" customHeight="1">
      <c r="G242" s="56"/>
      <c r="H242" s="56"/>
      <c r="I242" s="56"/>
    </row>
    <row r="243" ht="15.75" customHeight="1">
      <c r="G243" s="56"/>
      <c r="H243" s="56"/>
      <c r="I243" s="56"/>
    </row>
    <row r="244" ht="15.75" customHeight="1">
      <c r="G244" s="56"/>
      <c r="H244" s="56"/>
      <c r="I244" s="56"/>
    </row>
    <row r="245" ht="15.75" customHeight="1">
      <c r="G245" s="56"/>
      <c r="H245" s="56"/>
      <c r="I245" s="56"/>
    </row>
    <row r="246" ht="15.75" customHeight="1">
      <c r="G246" s="56"/>
      <c r="H246" s="56"/>
      <c r="I246" s="56"/>
    </row>
    <row r="247" ht="15.75" customHeight="1">
      <c r="G247" s="56"/>
      <c r="H247" s="56"/>
      <c r="I247" s="56"/>
    </row>
    <row r="248" ht="15.75" customHeight="1">
      <c r="G248" s="56"/>
      <c r="H248" s="56"/>
      <c r="I248" s="56"/>
    </row>
    <row r="249" ht="15.75" customHeight="1">
      <c r="G249" s="56"/>
      <c r="H249" s="56"/>
      <c r="I249" s="56"/>
    </row>
    <row r="250" ht="15.75" customHeight="1">
      <c r="G250" s="56"/>
      <c r="H250" s="56"/>
      <c r="I250" s="56"/>
    </row>
    <row r="251" ht="15.75" customHeight="1">
      <c r="G251" s="56"/>
      <c r="H251" s="56"/>
      <c r="I251" s="56"/>
    </row>
    <row r="252" ht="15.75" customHeight="1">
      <c r="G252" s="56"/>
      <c r="H252" s="56"/>
      <c r="I252" s="56"/>
    </row>
    <row r="253" ht="15.75" customHeight="1">
      <c r="G253" s="56"/>
      <c r="H253" s="56"/>
      <c r="I253" s="56"/>
    </row>
    <row r="254" ht="15.75" customHeight="1">
      <c r="G254" s="56"/>
      <c r="H254" s="56"/>
      <c r="I254" s="56"/>
    </row>
    <row r="255" ht="15.75" customHeight="1">
      <c r="G255" s="56"/>
      <c r="H255" s="56"/>
      <c r="I255" s="56"/>
    </row>
    <row r="256" ht="15.75" customHeight="1">
      <c r="G256" s="56"/>
      <c r="H256" s="56"/>
      <c r="I256" s="56"/>
    </row>
    <row r="257" ht="15.75" customHeight="1">
      <c r="G257" s="56"/>
      <c r="H257" s="56"/>
      <c r="I257" s="56"/>
    </row>
    <row r="258" ht="15.75" customHeight="1">
      <c r="G258" s="56"/>
      <c r="H258" s="56"/>
      <c r="I258" s="56"/>
    </row>
    <row r="259" ht="15.75" customHeight="1">
      <c r="G259" s="56"/>
      <c r="H259" s="56"/>
      <c r="I259" s="56"/>
    </row>
    <row r="260" ht="15.75" customHeight="1">
      <c r="G260" s="56"/>
      <c r="H260" s="56"/>
      <c r="I260" s="56"/>
    </row>
    <row r="261" ht="15.75" customHeight="1">
      <c r="G261" s="56"/>
      <c r="H261" s="56"/>
      <c r="I261" s="56"/>
    </row>
    <row r="262" ht="15.75" customHeight="1">
      <c r="G262" s="56"/>
      <c r="H262" s="56"/>
      <c r="I262" s="56"/>
    </row>
    <row r="263" ht="15.75" customHeight="1">
      <c r="G263" s="56"/>
      <c r="H263" s="56"/>
      <c r="I263" s="56"/>
    </row>
    <row r="264" ht="15.75" customHeight="1">
      <c r="G264" s="56"/>
      <c r="H264" s="56"/>
      <c r="I264" s="56"/>
    </row>
    <row r="265" ht="15.75" customHeight="1">
      <c r="G265" s="56"/>
      <c r="H265" s="56"/>
      <c r="I265" s="56"/>
    </row>
    <row r="266" ht="15.75" customHeight="1">
      <c r="G266" s="56"/>
      <c r="H266" s="56"/>
      <c r="I266" s="56"/>
    </row>
    <row r="267" ht="15.75" customHeight="1">
      <c r="G267" s="56"/>
      <c r="H267" s="56"/>
      <c r="I267" s="56"/>
    </row>
    <row r="268" ht="15.75" customHeight="1">
      <c r="G268" s="56"/>
      <c r="H268" s="56"/>
      <c r="I268" s="56"/>
    </row>
    <row r="269" ht="15.75" customHeight="1">
      <c r="G269" s="56"/>
      <c r="H269" s="56"/>
      <c r="I269" s="56"/>
    </row>
    <row r="270" ht="15.75" customHeight="1">
      <c r="G270" s="56"/>
      <c r="H270" s="56"/>
      <c r="I270" s="56"/>
    </row>
    <row r="271" ht="15.75" customHeight="1">
      <c r="G271" s="56"/>
      <c r="H271" s="56"/>
      <c r="I271" s="56"/>
    </row>
    <row r="272" ht="15.75" customHeight="1">
      <c r="G272" s="56"/>
      <c r="H272" s="56"/>
      <c r="I272" s="56"/>
    </row>
    <row r="273" ht="15.75" customHeight="1">
      <c r="G273" s="56"/>
      <c r="H273" s="56"/>
      <c r="I273" s="56"/>
    </row>
    <row r="274" ht="15.75" customHeight="1">
      <c r="G274" s="56"/>
      <c r="H274" s="56"/>
      <c r="I274" s="56"/>
    </row>
    <row r="275" ht="15.75" customHeight="1">
      <c r="G275" s="56"/>
      <c r="H275" s="56"/>
      <c r="I275" s="56"/>
    </row>
    <row r="276" ht="15.75" customHeight="1">
      <c r="G276" s="56"/>
      <c r="H276" s="56"/>
      <c r="I276" s="56"/>
    </row>
    <row r="277" ht="15.75" customHeight="1">
      <c r="G277" s="56"/>
      <c r="H277" s="56"/>
      <c r="I277" s="56"/>
    </row>
    <row r="278" ht="15.75" customHeight="1">
      <c r="G278" s="56"/>
      <c r="H278" s="56"/>
      <c r="I278" s="56"/>
    </row>
    <row r="279" ht="15.75" customHeight="1">
      <c r="G279" s="56"/>
      <c r="H279" s="56"/>
      <c r="I279" s="56"/>
    </row>
    <row r="280" ht="15.75" customHeight="1">
      <c r="G280" s="56"/>
      <c r="H280" s="56"/>
      <c r="I280" s="56"/>
    </row>
    <row r="281" ht="15.75" customHeight="1">
      <c r="G281" s="56"/>
      <c r="H281" s="56"/>
      <c r="I281" s="56"/>
    </row>
    <row r="282" ht="15.75" customHeight="1">
      <c r="G282" s="56"/>
      <c r="H282" s="56"/>
      <c r="I282" s="56"/>
    </row>
    <row r="283" ht="15.75" customHeight="1">
      <c r="G283" s="56"/>
      <c r="H283" s="56"/>
      <c r="I283" s="56"/>
    </row>
    <row r="284" ht="15.75" customHeight="1">
      <c r="G284" s="56"/>
      <c r="H284" s="56"/>
      <c r="I284" s="56"/>
    </row>
    <row r="285" ht="15.75" customHeight="1">
      <c r="G285" s="56"/>
      <c r="H285" s="56"/>
      <c r="I285" s="56"/>
    </row>
    <row r="286" ht="15.75" customHeight="1">
      <c r="G286" s="56"/>
      <c r="H286" s="56"/>
      <c r="I286" s="56"/>
    </row>
    <row r="287" ht="15.75" customHeight="1">
      <c r="G287" s="56"/>
      <c r="H287" s="56"/>
      <c r="I287" s="56"/>
    </row>
    <row r="288" ht="15.75" customHeight="1">
      <c r="G288" s="56"/>
      <c r="H288" s="56"/>
      <c r="I288" s="56"/>
    </row>
    <row r="289" ht="15.75" customHeight="1">
      <c r="G289" s="56"/>
      <c r="H289" s="56"/>
      <c r="I289" s="56"/>
    </row>
    <row r="290" ht="15.75" customHeight="1">
      <c r="G290" s="56"/>
      <c r="H290" s="56"/>
      <c r="I290" s="56"/>
    </row>
    <row r="291" ht="15.75" customHeight="1">
      <c r="G291" s="56"/>
      <c r="H291" s="56"/>
      <c r="I291" s="56"/>
    </row>
    <row r="292" ht="15.75" customHeight="1">
      <c r="G292" s="56"/>
      <c r="H292" s="56"/>
      <c r="I292" s="56"/>
    </row>
    <row r="293" ht="15.75" customHeight="1">
      <c r="G293" s="56"/>
      <c r="H293" s="56"/>
      <c r="I293" s="56"/>
    </row>
    <row r="294" ht="15.75" customHeight="1">
      <c r="G294" s="56"/>
      <c r="H294" s="56"/>
      <c r="I294" s="56"/>
    </row>
    <row r="295" ht="15.75" customHeight="1">
      <c r="G295" s="56"/>
      <c r="H295" s="56"/>
      <c r="I295" s="56"/>
    </row>
    <row r="296" ht="15.75" customHeight="1">
      <c r="G296" s="56"/>
      <c r="H296" s="56"/>
      <c r="I296" s="56"/>
    </row>
    <row r="297" ht="15.75" customHeight="1">
      <c r="G297" s="56"/>
      <c r="H297" s="56"/>
      <c r="I297" s="56"/>
    </row>
    <row r="298" ht="15.75" customHeight="1">
      <c r="G298" s="56"/>
      <c r="H298" s="56"/>
      <c r="I298" s="56"/>
    </row>
    <row r="299" ht="15.75" customHeight="1">
      <c r="G299" s="56"/>
      <c r="H299" s="56"/>
      <c r="I299" s="56"/>
    </row>
    <row r="300" ht="15.75" customHeight="1">
      <c r="G300" s="56"/>
      <c r="H300" s="56"/>
      <c r="I300" s="56"/>
    </row>
    <row r="301" ht="15.75" customHeight="1">
      <c r="G301" s="56"/>
      <c r="H301" s="56"/>
      <c r="I301" s="56"/>
    </row>
    <row r="302" ht="15.75" customHeight="1">
      <c r="G302" s="56"/>
      <c r="H302" s="56"/>
      <c r="I302" s="56"/>
    </row>
    <row r="303" ht="15.75" customHeight="1">
      <c r="G303" s="56"/>
      <c r="H303" s="56"/>
      <c r="I303" s="56"/>
    </row>
    <row r="304" ht="15.75" customHeight="1">
      <c r="G304" s="56"/>
      <c r="H304" s="56"/>
      <c r="I304" s="56"/>
    </row>
    <row r="305" ht="15.75" customHeight="1">
      <c r="G305" s="56"/>
      <c r="H305" s="56"/>
      <c r="I305" s="56"/>
    </row>
    <row r="306" ht="15.75" customHeight="1">
      <c r="G306" s="56"/>
      <c r="H306" s="56"/>
      <c r="I306" s="56"/>
    </row>
    <row r="307" ht="15.75" customHeight="1">
      <c r="G307" s="56"/>
      <c r="H307" s="56"/>
      <c r="I307" s="56"/>
    </row>
    <row r="308" ht="15.75" customHeight="1">
      <c r="G308" s="56"/>
      <c r="H308" s="56"/>
      <c r="I308" s="56"/>
    </row>
    <row r="309" ht="15.75" customHeight="1">
      <c r="G309" s="56"/>
      <c r="H309" s="56"/>
      <c r="I309" s="56"/>
    </row>
    <row r="310" ht="15.75" customHeight="1">
      <c r="G310" s="56"/>
      <c r="H310" s="56"/>
      <c r="I310" s="56"/>
    </row>
    <row r="311" ht="15.75" customHeight="1">
      <c r="G311" s="56"/>
      <c r="H311" s="56"/>
      <c r="I311" s="56"/>
    </row>
    <row r="312" ht="15.75" customHeight="1">
      <c r="G312" s="56"/>
      <c r="H312" s="56"/>
      <c r="I312" s="56"/>
    </row>
    <row r="313" ht="15.75" customHeight="1">
      <c r="G313" s="56"/>
      <c r="H313" s="56"/>
      <c r="I313" s="56"/>
    </row>
    <row r="314" ht="15.75" customHeight="1">
      <c r="G314" s="56"/>
      <c r="H314" s="56"/>
      <c r="I314" s="56"/>
    </row>
    <row r="315" ht="15.75" customHeight="1">
      <c r="G315" s="56"/>
      <c r="H315" s="56"/>
      <c r="I315" s="56"/>
    </row>
    <row r="316" ht="15.75" customHeight="1">
      <c r="G316" s="56"/>
      <c r="H316" s="56"/>
      <c r="I316" s="56"/>
    </row>
    <row r="317" ht="15.75" customHeight="1">
      <c r="G317" s="56"/>
      <c r="H317" s="56"/>
      <c r="I317" s="56"/>
    </row>
    <row r="318" ht="15.75" customHeight="1">
      <c r="G318" s="56"/>
      <c r="H318" s="56"/>
      <c r="I318" s="56"/>
    </row>
    <row r="319" ht="15.75" customHeight="1">
      <c r="G319" s="56"/>
      <c r="H319" s="56"/>
      <c r="I319" s="56"/>
    </row>
    <row r="320" ht="15.75" customHeight="1">
      <c r="G320" s="56"/>
      <c r="H320" s="56"/>
      <c r="I320" s="56"/>
    </row>
    <row r="321" ht="15.75" customHeight="1">
      <c r="G321" s="56"/>
      <c r="H321" s="56"/>
      <c r="I321" s="56"/>
    </row>
    <row r="322" ht="15.75" customHeight="1">
      <c r="G322" s="56"/>
      <c r="H322" s="56"/>
      <c r="I322" s="56"/>
    </row>
    <row r="323" ht="15.75" customHeight="1">
      <c r="G323" s="56"/>
      <c r="H323" s="56"/>
      <c r="I323" s="56"/>
    </row>
    <row r="324" ht="15.75" customHeight="1">
      <c r="G324" s="56"/>
      <c r="H324" s="56"/>
      <c r="I324" s="56"/>
    </row>
    <row r="325" ht="15.75" customHeight="1">
      <c r="G325" s="56"/>
      <c r="H325" s="56"/>
      <c r="I325" s="56"/>
    </row>
    <row r="326" ht="15.75" customHeight="1">
      <c r="G326" s="56"/>
      <c r="H326" s="56"/>
      <c r="I326" s="56"/>
    </row>
    <row r="327" ht="15.75" customHeight="1">
      <c r="G327" s="56"/>
      <c r="H327" s="56"/>
      <c r="I327" s="56"/>
    </row>
    <row r="328" ht="15.75" customHeight="1">
      <c r="G328" s="56"/>
      <c r="H328" s="56"/>
      <c r="I328" s="56"/>
    </row>
    <row r="329" ht="15.75" customHeight="1">
      <c r="G329" s="56"/>
      <c r="H329" s="56"/>
      <c r="I329" s="56"/>
    </row>
    <row r="330" ht="15.75" customHeight="1">
      <c r="G330" s="56"/>
      <c r="H330" s="56"/>
      <c r="I330" s="56"/>
    </row>
    <row r="331" ht="15.75" customHeight="1">
      <c r="G331" s="56"/>
      <c r="H331" s="56"/>
      <c r="I331" s="56"/>
    </row>
    <row r="332" ht="15.75" customHeight="1">
      <c r="G332" s="56"/>
      <c r="H332" s="56"/>
      <c r="I332" s="56"/>
    </row>
    <row r="333" ht="15.75" customHeight="1">
      <c r="G333" s="56"/>
      <c r="H333" s="56"/>
      <c r="I333" s="56"/>
    </row>
    <row r="334" ht="15.75" customHeight="1">
      <c r="G334" s="56"/>
      <c r="H334" s="56"/>
      <c r="I334" s="56"/>
    </row>
    <row r="335" ht="15.75" customHeight="1">
      <c r="G335" s="56"/>
      <c r="H335" s="56"/>
      <c r="I335" s="56"/>
    </row>
    <row r="336" ht="15.75" customHeight="1">
      <c r="G336" s="56"/>
      <c r="H336" s="56"/>
      <c r="I336" s="56"/>
    </row>
    <row r="337" ht="15.75" customHeight="1">
      <c r="G337" s="56"/>
      <c r="H337" s="56"/>
      <c r="I337" s="56"/>
    </row>
    <row r="338" ht="15.75" customHeight="1">
      <c r="G338" s="56"/>
      <c r="H338" s="56"/>
      <c r="I338" s="56"/>
    </row>
    <row r="339" ht="15.75" customHeight="1">
      <c r="G339" s="56"/>
      <c r="H339" s="56"/>
      <c r="I339" s="56"/>
    </row>
    <row r="340" ht="15.75" customHeight="1">
      <c r="G340" s="56"/>
      <c r="H340" s="56"/>
      <c r="I340" s="56"/>
    </row>
    <row r="341" ht="15.75" customHeight="1">
      <c r="G341" s="56"/>
      <c r="H341" s="56"/>
      <c r="I341" s="56"/>
    </row>
    <row r="342" ht="15.75" customHeight="1">
      <c r="G342" s="56"/>
      <c r="H342" s="56"/>
      <c r="I342" s="56"/>
    </row>
    <row r="343" ht="15.75" customHeight="1">
      <c r="G343" s="56"/>
      <c r="H343" s="56"/>
      <c r="I343" s="56"/>
    </row>
    <row r="344" ht="15.75" customHeight="1">
      <c r="G344" s="56"/>
      <c r="H344" s="56"/>
      <c r="I344" s="56"/>
    </row>
    <row r="345" ht="15.75" customHeight="1">
      <c r="G345" s="56"/>
      <c r="H345" s="56"/>
      <c r="I345" s="56"/>
    </row>
    <row r="346" ht="15.75" customHeight="1">
      <c r="G346" s="56"/>
      <c r="H346" s="56"/>
      <c r="I346" s="56"/>
    </row>
    <row r="347" ht="15.75" customHeight="1">
      <c r="G347" s="56"/>
      <c r="H347" s="56"/>
      <c r="I347" s="56"/>
    </row>
    <row r="348" ht="15.75" customHeight="1">
      <c r="G348" s="56"/>
      <c r="H348" s="56"/>
      <c r="I348" s="56"/>
    </row>
    <row r="349" ht="15.75" customHeight="1">
      <c r="G349" s="56"/>
      <c r="H349" s="56"/>
      <c r="I349" s="56"/>
    </row>
    <row r="350" ht="15.75" customHeight="1">
      <c r="G350" s="56"/>
      <c r="H350" s="56"/>
      <c r="I350" s="56"/>
    </row>
    <row r="351" ht="15.75" customHeight="1">
      <c r="G351" s="56"/>
      <c r="H351" s="56"/>
      <c r="I351" s="56"/>
    </row>
    <row r="352" ht="15.75" customHeight="1">
      <c r="G352" s="56"/>
      <c r="H352" s="56"/>
      <c r="I352" s="56"/>
    </row>
    <row r="353" ht="15.75" customHeight="1">
      <c r="G353" s="56"/>
      <c r="H353" s="56"/>
      <c r="I353" s="56"/>
    </row>
    <row r="354" ht="15.75" customHeight="1">
      <c r="G354" s="56"/>
      <c r="H354" s="56"/>
      <c r="I354" s="56"/>
    </row>
    <row r="355" ht="15.75" customHeight="1">
      <c r="G355" s="56"/>
      <c r="H355" s="56"/>
      <c r="I355" s="56"/>
    </row>
    <row r="356" ht="15.75" customHeight="1">
      <c r="G356" s="56"/>
      <c r="H356" s="56"/>
      <c r="I356" s="56"/>
    </row>
    <row r="357" ht="15.75" customHeight="1">
      <c r="G357" s="56"/>
      <c r="H357" s="56"/>
      <c r="I357" s="56"/>
    </row>
    <row r="358" ht="15.75" customHeight="1">
      <c r="G358" s="56"/>
      <c r="H358" s="56"/>
      <c r="I358" s="56"/>
    </row>
    <row r="359" ht="15.75" customHeight="1">
      <c r="G359" s="56"/>
      <c r="H359" s="56"/>
      <c r="I359" s="56"/>
    </row>
    <row r="360" ht="15.75" customHeight="1">
      <c r="G360" s="56"/>
      <c r="H360" s="56"/>
      <c r="I360" s="56"/>
    </row>
    <row r="361" ht="15.75" customHeight="1">
      <c r="G361" s="56"/>
      <c r="H361" s="56"/>
      <c r="I361" s="56"/>
    </row>
    <row r="362" ht="15.75" customHeight="1">
      <c r="G362" s="56"/>
      <c r="H362" s="56"/>
      <c r="I362" s="56"/>
    </row>
    <row r="363" ht="15.75" customHeight="1">
      <c r="G363" s="56"/>
      <c r="H363" s="56"/>
      <c r="I363" s="56"/>
    </row>
    <row r="364" ht="15.75" customHeight="1">
      <c r="G364" s="56"/>
      <c r="H364" s="56"/>
      <c r="I364" s="56"/>
    </row>
    <row r="365" ht="15.75" customHeight="1">
      <c r="G365" s="56"/>
      <c r="H365" s="56"/>
      <c r="I365" s="56"/>
    </row>
    <row r="366" ht="15.75" customHeight="1">
      <c r="G366" s="56"/>
      <c r="H366" s="56"/>
      <c r="I366" s="56"/>
    </row>
    <row r="367" ht="15.75" customHeight="1">
      <c r="G367" s="56"/>
      <c r="H367" s="56"/>
      <c r="I367" s="56"/>
    </row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4"/>
  <mergeCells count="38">
    <mergeCell ref="A1:M1"/>
    <mergeCell ref="A2:M2"/>
    <mergeCell ref="A5:M5"/>
    <mergeCell ref="A7:M7"/>
    <mergeCell ref="A12:M12"/>
    <mergeCell ref="A15:M15"/>
    <mergeCell ref="A18:M18"/>
    <mergeCell ref="A20:M20"/>
    <mergeCell ref="A25:M25"/>
    <mergeCell ref="A27:M27"/>
    <mergeCell ref="A30:M30"/>
    <mergeCell ref="A32:M32"/>
    <mergeCell ref="A34:M34"/>
    <mergeCell ref="A52:M52"/>
    <mergeCell ref="A54:M54"/>
    <mergeCell ref="A56:M56"/>
    <mergeCell ref="A63:M63"/>
    <mergeCell ref="A73:M73"/>
    <mergeCell ref="A77:M77"/>
    <mergeCell ref="A80:M80"/>
    <mergeCell ref="A82:M82"/>
    <mergeCell ref="A84:M84"/>
    <mergeCell ref="A88:M88"/>
    <mergeCell ref="A91:M91"/>
    <mergeCell ref="A94:M94"/>
    <mergeCell ref="A102:M102"/>
    <mergeCell ref="A104:M104"/>
    <mergeCell ref="A110:M110"/>
    <mergeCell ref="A158:M158"/>
    <mergeCell ref="A165:F165"/>
    <mergeCell ref="A167:M167"/>
    <mergeCell ref="A112:M112"/>
    <mergeCell ref="A133:M133"/>
    <mergeCell ref="A135:M135"/>
    <mergeCell ref="A137:M137"/>
    <mergeCell ref="A139:M139"/>
    <mergeCell ref="A141:M141"/>
    <mergeCell ref="A155:M155"/>
  </mergeCells>
  <conditionalFormatting sqref="G5:G1000">
    <cfRule type="cellIs" dxfId="0" priority="1" operator="equal">
      <formula>"DISPONIVEL"</formula>
    </cfRule>
  </conditionalFormatting>
  <conditionalFormatting sqref="G5:G1000">
    <cfRule type="cellIs" dxfId="1" priority="2" operator="equal">
      <formula>"PACKED"</formula>
    </cfRule>
  </conditionalFormatting>
  <conditionalFormatting sqref="G5:G1000">
    <cfRule type="cellIs" dxfId="2" priority="3" operator="equal">
      <formula>"EM_CAMPO"</formula>
    </cfRule>
  </conditionalFormatting>
  <conditionalFormatting sqref="G5:G1000">
    <cfRule type="cellIs" dxfId="3" priority="4" operator="equal">
      <formula>"MANUTENCAO"</formula>
    </cfRule>
  </conditionalFormatting>
  <conditionalFormatting sqref="G5:G1000">
    <cfRule type="cellIs" dxfId="4" priority="5" operator="equal">
      <formula>"EMPRESTADO"</formula>
    </cfRule>
  </conditionalFormatting>
  <conditionalFormatting sqref="G5:G1000">
    <cfRule type="cellIs" dxfId="5" priority="6" operator="equal">
      <formula>"VENDIDO"</formula>
    </cfRule>
  </conditionalFormatting>
  <conditionalFormatting sqref="G5:G1000">
    <cfRule type="cellIs" dxfId="5" priority="7" operator="equal">
      <formula>"BAIXA"</formula>
    </cfRule>
  </conditionalFormatting>
  <conditionalFormatting sqref="H5:H1000">
    <cfRule type="cellIs" dxfId="6" priority="8" operator="equal">
      <formula>"NOVO"</formula>
    </cfRule>
  </conditionalFormatting>
  <conditionalFormatting sqref="H5:H1000">
    <cfRule type="cellIs" dxfId="7" priority="9" operator="equal">
      <formula>"SEMI_NOVO"</formula>
    </cfRule>
  </conditionalFormatting>
  <conditionalFormatting sqref="H5:H1000">
    <cfRule type="cellIs" dxfId="8" priority="10" operator="equal">
      <formula>"USADO"</formula>
    </cfRule>
  </conditionalFormatting>
  <conditionalFormatting sqref="H5:H1000">
    <cfRule type="cellIs" dxfId="9" priority="11" operator="equal">
      <formula>"RECONDICIONADO"</formula>
    </cfRule>
  </conditionalFormatting>
  <conditionalFormatting sqref="I5:I1000">
    <cfRule type="expression" dxfId="10" priority="12">
      <formula>I5="★★★★★"</formula>
    </cfRule>
  </conditionalFormatting>
  <conditionalFormatting sqref="I5:I1000">
    <cfRule type="expression" dxfId="11" priority="13">
      <formula>I5="★★★★☆"</formula>
    </cfRule>
  </conditionalFormatting>
  <conditionalFormatting sqref="I5:I1000">
    <cfRule type="expression" dxfId="12" priority="14">
      <formula>I5="★★★☆☆"</formula>
    </cfRule>
  </conditionalFormatting>
  <conditionalFormatting sqref="I5:I1000">
    <cfRule type="expression" dxfId="13" priority="15">
      <formula>I5="★★☆☆☆"</formula>
    </cfRule>
  </conditionalFormatting>
  <conditionalFormatting sqref="I5:I1000">
    <cfRule type="expression" dxfId="14" priority="16">
      <formula>I5="★☆☆☆☆"</formula>
    </cfRule>
  </conditionalFormatting>
  <conditionalFormatting sqref="L5:L1000">
    <cfRule type="cellIs" dxfId="0" priority="17" operator="lessThan">
      <formula>0.2</formula>
    </cfRule>
  </conditionalFormatting>
  <conditionalFormatting sqref="L5:L1000">
    <cfRule type="cellIs" dxfId="2" priority="18" operator="between">
      <formula>0.2</formula>
      <formula>0.4</formula>
    </cfRule>
  </conditionalFormatting>
  <conditionalFormatting sqref="L5:L1000">
    <cfRule type="cellIs" dxfId="15" priority="19" operator="between">
      <formula>0.4</formula>
      <formula>0.6</formula>
    </cfRule>
  </conditionalFormatting>
  <conditionalFormatting sqref="L5:L1000">
    <cfRule type="cellIs" dxfId="16" priority="20" operator="greaterThanOrEqual">
      <formula>0.6</formula>
    </cfRule>
  </conditionalFormatting>
  <dataValidations>
    <dataValidation type="list" allowBlank="1" sqref="H6 H8:H11 H13:H14 H16:H17 H19 H21:H24 H26 H28:H29 H31 H33 H35:H51 H53 H55 H57:H62 H64:H72 H74:H76 H78:H79 H81 H83 H85:H87 H89:H90 H92:H93 H95:H101 H103 H105:H109 H111 H113:H132 H134 H136 H138 H140 H142:H154 H156:H157 H159:H166 H168:H367">
      <formula1>"NOVO,SEMI_NOVO,USADO,RECONDICIONADO"</formula1>
    </dataValidation>
    <dataValidation type="list" allowBlank="1" sqref="G6 G8:G11 G13:G14 G16:G17 G19 G21:G24 G26 G28:G29 G31 G33 G35:G51 G53 G55 G57:G62 G64:G72 G74:G76 G78:G79 G81 G83 G85:G87 G89:G90 G92:G93 G95:G101 G103 G105:G109 G111 G113:G132 G134 G136 G138 G140 G142:G154 G156:G157 G159:G166 G168:G367">
      <formula1>"DISPONIVEL,PACKED,EM_CAMPO,MANUTENCAO,EMPRESTADO,VENDIDO,BAIXA"</formula1>
    </dataValidation>
    <dataValidation type="list" allowBlank="1" sqref="I6 I8:I11 I13:I14 I16:I17 I19 I21:I24 I26 I28:I29 I31 I33 I35:I51 I53 I55 I57:I62 I64:I72 I74:I76 I78:I79 I81 I83 I85:I87 I89:I90 I92:I93 I95:I101 I103 I105:I109 I111 I113:I132 I134 I136 I138 I140 I142:I154 I156:I157 I159:I166 I168:I367">
      <formula1>"★☆☆☆☆,★★☆☆☆,★★★☆☆,★★★★☆,★★★★★"</formula1>
    </dataValidation>
  </dataValidations>
  <hyperlinks>
    <hyperlink r:id="rId2" ref="A6"/>
    <hyperlink r:id="rId3" ref="A8"/>
    <hyperlink r:id="rId4" ref="A9"/>
    <hyperlink r:id="rId5" ref="A10"/>
    <hyperlink r:id="rId6" ref="A11"/>
    <hyperlink r:id="rId7" ref="A13"/>
    <hyperlink r:id="rId8" ref="A14"/>
    <hyperlink r:id="rId9" ref="A16"/>
    <hyperlink r:id="rId10" ref="A17"/>
    <hyperlink r:id="rId11" ref="A19"/>
    <hyperlink r:id="rId12" ref="A21"/>
    <hyperlink r:id="rId13" ref="A22"/>
    <hyperlink r:id="rId14" ref="A23"/>
    <hyperlink r:id="rId15" ref="A24"/>
    <hyperlink r:id="rId16" ref="A26"/>
    <hyperlink r:id="rId17" ref="A28"/>
    <hyperlink r:id="rId18" ref="A29"/>
    <hyperlink r:id="rId19" ref="A31"/>
    <hyperlink r:id="rId20" ref="A33"/>
    <hyperlink r:id="rId21" ref="A35"/>
    <hyperlink r:id="rId22" ref="A36"/>
    <hyperlink r:id="rId23" ref="A37"/>
    <hyperlink r:id="rId24" ref="A38"/>
    <hyperlink r:id="rId25" ref="A39"/>
    <hyperlink r:id="rId26" ref="A40"/>
    <hyperlink r:id="rId27" ref="A41"/>
    <hyperlink r:id="rId28" ref="A42"/>
    <hyperlink r:id="rId29" ref="A43"/>
    <hyperlink r:id="rId30" ref="A44"/>
    <hyperlink r:id="rId31" ref="A45"/>
    <hyperlink r:id="rId32" ref="A46"/>
    <hyperlink r:id="rId33" ref="A47"/>
    <hyperlink r:id="rId34" ref="A48"/>
    <hyperlink r:id="rId35" ref="A49"/>
    <hyperlink r:id="rId36" ref="A50"/>
    <hyperlink r:id="rId37" ref="A51"/>
    <hyperlink r:id="rId38" ref="A53"/>
    <hyperlink r:id="rId39" ref="A55"/>
    <hyperlink r:id="rId40" ref="A57"/>
    <hyperlink r:id="rId41" ref="A58"/>
    <hyperlink r:id="rId42" ref="A59"/>
    <hyperlink r:id="rId43" ref="A60"/>
    <hyperlink r:id="rId44" ref="A61"/>
    <hyperlink r:id="rId45" ref="A62"/>
    <hyperlink r:id="rId46" ref="A64"/>
    <hyperlink r:id="rId47" ref="A65"/>
    <hyperlink r:id="rId48" ref="A66"/>
    <hyperlink r:id="rId49" ref="A67"/>
    <hyperlink r:id="rId50" ref="A68"/>
    <hyperlink r:id="rId51" ref="A69"/>
    <hyperlink r:id="rId52" ref="A70"/>
    <hyperlink r:id="rId53" ref="A71"/>
    <hyperlink r:id="rId54" ref="A72"/>
    <hyperlink r:id="rId55" ref="A74"/>
    <hyperlink r:id="rId56" ref="A75"/>
    <hyperlink r:id="rId57" ref="A76"/>
    <hyperlink r:id="rId58" ref="A78"/>
    <hyperlink r:id="rId59" ref="A79"/>
    <hyperlink r:id="rId60" ref="A81"/>
    <hyperlink r:id="rId61" ref="A83"/>
    <hyperlink r:id="rId62" ref="A85"/>
    <hyperlink r:id="rId63" ref="A86"/>
    <hyperlink r:id="rId64" ref="A87"/>
    <hyperlink r:id="rId65" ref="A89"/>
    <hyperlink r:id="rId66" ref="A90"/>
    <hyperlink r:id="rId67" ref="A92"/>
    <hyperlink r:id="rId68" ref="A93"/>
    <hyperlink r:id="rId69" ref="A95"/>
    <hyperlink r:id="rId70" ref="A96"/>
    <hyperlink r:id="rId71" ref="A97"/>
    <hyperlink r:id="rId72" ref="A98"/>
    <hyperlink r:id="rId73" ref="A99"/>
    <hyperlink r:id="rId74" ref="A100"/>
    <hyperlink r:id="rId75" ref="A101"/>
    <hyperlink r:id="rId76" ref="A103"/>
    <hyperlink r:id="rId77" ref="A105"/>
    <hyperlink r:id="rId78" ref="A106"/>
    <hyperlink r:id="rId79" ref="A107"/>
    <hyperlink r:id="rId80" ref="A108"/>
    <hyperlink r:id="rId81" ref="A109"/>
    <hyperlink r:id="rId82" ref="A111"/>
    <hyperlink r:id="rId83" ref="A113"/>
    <hyperlink r:id="rId84" ref="A114"/>
    <hyperlink r:id="rId85" ref="A115"/>
    <hyperlink r:id="rId86" ref="A116"/>
    <hyperlink r:id="rId87" ref="A117"/>
    <hyperlink r:id="rId88" ref="A118"/>
    <hyperlink r:id="rId89" ref="A119"/>
    <hyperlink r:id="rId90" ref="A120"/>
    <hyperlink r:id="rId91" ref="A121"/>
    <hyperlink r:id="rId92" ref="A122"/>
    <hyperlink r:id="rId93" ref="A123"/>
    <hyperlink r:id="rId94" ref="A124"/>
    <hyperlink r:id="rId95" ref="A125"/>
    <hyperlink r:id="rId96" ref="A126"/>
    <hyperlink r:id="rId97" ref="A127"/>
    <hyperlink r:id="rId98" ref="A128"/>
    <hyperlink r:id="rId99" ref="A129"/>
    <hyperlink r:id="rId100" ref="A130"/>
    <hyperlink r:id="rId101" ref="A131"/>
    <hyperlink r:id="rId102" ref="A132"/>
    <hyperlink r:id="rId103" ref="A134"/>
    <hyperlink r:id="rId104" ref="A136"/>
    <hyperlink r:id="rId105" ref="A138"/>
    <hyperlink r:id="rId106" ref="A140"/>
    <hyperlink r:id="rId107" ref="A142"/>
    <hyperlink r:id="rId108" ref="A143"/>
    <hyperlink r:id="rId109" ref="A144"/>
    <hyperlink r:id="rId110" ref="A145"/>
    <hyperlink r:id="rId111" ref="A146"/>
    <hyperlink r:id="rId112" ref="A147"/>
    <hyperlink r:id="rId113" ref="A148"/>
    <hyperlink r:id="rId114" ref="A149"/>
    <hyperlink r:id="rId115" ref="A150"/>
    <hyperlink r:id="rId116" ref="A151"/>
    <hyperlink r:id="rId117" ref="A152"/>
    <hyperlink r:id="rId118" ref="A153"/>
    <hyperlink r:id="rId119" ref="A154"/>
    <hyperlink r:id="rId120" ref="A156"/>
    <hyperlink r:id="rId121" ref="A157"/>
    <hyperlink r:id="rId122" ref="A159"/>
    <hyperlink r:id="rId123" ref="A160"/>
    <hyperlink r:id="rId124" ref="A161"/>
    <hyperlink r:id="rId125" ref="A162"/>
    <hyperlink r:id="rId126" ref="A163"/>
  </hyperlinks>
  <printOptions/>
  <pageMargins bottom="1.0" footer="0.0" header="0.0" left="0.75" right="0.75" top="1.0"/>
  <pageSetup orientation="landscape"/>
  <drawing r:id="rId127"/>
  <legacyDrawing r:id="rId12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F4444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26" width="8.71"/>
  </cols>
  <sheetData>
    <row r="1" ht="37.5" customHeight="1">
      <c r="A1" s="115" t="s">
        <v>1015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5"/>
    </row>
    <row r="2" ht="21.75" customHeight="1">
      <c r="A2" s="90" t="s">
        <v>1016</v>
      </c>
    </row>
    <row r="3" ht="6.0" customHeight="1"/>
    <row r="4" ht="27.75" customHeight="1">
      <c r="A4" s="91" t="s">
        <v>140</v>
      </c>
      <c r="B4" s="91" t="s">
        <v>123</v>
      </c>
      <c r="C4" s="91" t="s">
        <v>141</v>
      </c>
      <c r="D4" s="91" t="s">
        <v>142</v>
      </c>
      <c r="E4" s="91" t="s">
        <v>143</v>
      </c>
      <c r="F4" s="91" t="s">
        <v>144</v>
      </c>
      <c r="G4" s="91" t="s">
        <v>118</v>
      </c>
      <c r="H4" s="91" t="s">
        <v>145</v>
      </c>
      <c r="I4" s="91" t="s">
        <v>125</v>
      </c>
      <c r="J4" s="91" t="s">
        <v>146</v>
      </c>
      <c r="K4" s="91" t="s">
        <v>91</v>
      </c>
      <c r="L4" s="91" t="s">
        <v>136</v>
      </c>
      <c r="M4" s="91" t="s">
        <v>147</v>
      </c>
    </row>
    <row r="5" ht="24.0" customHeight="1">
      <c r="A5" s="116" t="s">
        <v>1017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5"/>
    </row>
    <row r="6" ht="21.75" customHeight="1">
      <c r="A6" s="117" t="s">
        <v>1018</v>
      </c>
      <c r="B6" s="74" t="s">
        <v>1019</v>
      </c>
      <c r="C6" s="57" t="s">
        <v>1020</v>
      </c>
      <c r="D6" s="57" t="s">
        <v>1021</v>
      </c>
      <c r="E6" s="57"/>
      <c r="F6" s="57"/>
      <c r="G6" s="57" t="s">
        <v>75</v>
      </c>
      <c r="H6" s="57" t="s">
        <v>153</v>
      </c>
      <c r="I6" s="102" t="s">
        <v>132</v>
      </c>
      <c r="J6" s="59">
        <v>400.0</v>
      </c>
      <c r="K6" s="95">
        <v>332.34</v>
      </c>
      <c r="L6" s="96">
        <f>IF(J6&gt;0,(J6-K6)/J6,"")</f>
        <v>0.16915</v>
      </c>
      <c r="M6" s="97"/>
    </row>
    <row r="7" ht="24.0" customHeight="1">
      <c r="A7" s="116" t="s">
        <v>1022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5"/>
    </row>
    <row r="8" ht="21.75" customHeight="1">
      <c r="A8" s="118" t="s">
        <v>1023</v>
      </c>
      <c r="B8" s="78" t="s">
        <v>1024</v>
      </c>
      <c r="C8" s="51"/>
      <c r="D8" s="51" t="s">
        <v>1025</v>
      </c>
      <c r="E8" s="51"/>
      <c r="F8" s="51"/>
      <c r="G8" s="51" t="s">
        <v>75</v>
      </c>
      <c r="H8" s="51" t="s">
        <v>153</v>
      </c>
      <c r="I8" s="102" t="s">
        <v>132</v>
      </c>
      <c r="J8" s="53">
        <v>245.07</v>
      </c>
      <c r="K8" s="95">
        <v>66.75</v>
      </c>
      <c r="L8" s="100">
        <f>IF(J8&gt;0,(J8-K8)/J8,"")</f>
        <v>0.7276288407</v>
      </c>
      <c r="M8" s="101"/>
    </row>
    <row r="9" ht="24.0" customHeight="1">
      <c r="A9" s="116" t="s">
        <v>1026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5"/>
    </row>
    <row r="10" ht="21.75" customHeight="1">
      <c r="A10" s="117" t="s">
        <v>1027</v>
      </c>
      <c r="B10" s="74" t="s">
        <v>1028</v>
      </c>
      <c r="C10" s="57" t="s">
        <v>1029</v>
      </c>
      <c r="D10" s="57" t="s">
        <v>1030</v>
      </c>
      <c r="E10" s="57"/>
      <c r="F10" s="57"/>
      <c r="G10" s="57" t="s">
        <v>75</v>
      </c>
      <c r="H10" s="57" t="s">
        <v>153</v>
      </c>
      <c r="I10" s="102" t="s">
        <v>132</v>
      </c>
      <c r="J10" s="59">
        <v>76.0</v>
      </c>
      <c r="K10" s="95">
        <v>66.75</v>
      </c>
      <c r="L10" s="96">
        <f t="shared" ref="L10:L13" si="1">IF(J10&gt;0,(J10-K10)/J10,"")</f>
        <v>0.1217105263</v>
      </c>
      <c r="M10" s="97"/>
    </row>
    <row r="11" ht="21.75" customHeight="1">
      <c r="A11" s="118" t="s">
        <v>1031</v>
      </c>
      <c r="B11" s="78" t="s">
        <v>1028</v>
      </c>
      <c r="C11" s="51" t="s">
        <v>1032</v>
      </c>
      <c r="D11" s="51" t="s">
        <v>1030</v>
      </c>
      <c r="E11" s="51"/>
      <c r="F11" s="51"/>
      <c r="G11" s="51" t="s">
        <v>75</v>
      </c>
      <c r="H11" s="51" t="s">
        <v>153</v>
      </c>
      <c r="I11" s="102" t="s">
        <v>132</v>
      </c>
      <c r="J11" s="53">
        <v>145.57</v>
      </c>
      <c r="K11" s="95">
        <v>66.75</v>
      </c>
      <c r="L11" s="100">
        <f t="shared" si="1"/>
        <v>0.5414577179</v>
      </c>
      <c r="M11" s="101"/>
    </row>
    <row r="12" ht="21.75" customHeight="1">
      <c r="A12" s="117" t="s">
        <v>1033</v>
      </c>
      <c r="B12" s="74" t="s">
        <v>1028</v>
      </c>
      <c r="C12" s="57" t="s">
        <v>1032</v>
      </c>
      <c r="D12" s="57" t="s">
        <v>1030</v>
      </c>
      <c r="E12" s="57"/>
      <c r="F12" s="57"/>
      <c r="G12" s="57" t="s">
        <v>75</v>
      </c>
      <c r="H12" s="57" t="s">
        <v>153</v>
      </c>
      <c r="I12" s="102" t="s">
        <v>132</v>
      </c>
      <c r="J12" s="59">
        <v>145.57</v>
      </c>
      <c r="K12" s="95">
        <v>66.75</v>
      </c>
      <c r="L12" s="96">
        <f t="shared" si="1"/>
        <v>0.5414577179</v>
      </c>
      <c r="M12" s="97"/>
    </row>
    <row r="13" ht="21.75" customHeight="1">
      <c r="A13" s="118" t="s">
        <v>1034</v>
      </c>
      <c r="B13" s="78" t="s">
        <v>1035</v>
      </c>
      <c r="C13" s="51" t="s">
        <v>1032</v>
      </c>
      <c r="D13" s="51" t="s">
        <v>1030</v>
      </c>
      <c r="E13" s="51"/>
      <c r="F13" s="51"/>
      <c r="G13" s="51" t="s">
        <v>75</v>
      </c>
      <c r="H13" s="51" t="s">
        <v>153</v>
      </c>
      <c r="I13" s="102" t="s">
        <v>132</v>
      </c>
      <c r="J13" s="53">
        <v>145.57</v>
      </c>
      <c r="K13" s="95">
        <v>27.6</v>
      </c>
      <c r="L13" s="100">
        <f t="shared" si="1"/>
        <v>0.8104004946</v>
      </c>
      <c r="M13" s="101"/>
    </row>
    <row r="14" ht="24.0" customHeight="1">
      <c r="A14" s="116" t="s">
        <v>1036</v>
      </c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5"/>
    </row>
    <row r="15" ht="21.75" customHeight="1">
      <c r="A15" s="117" t="s">
        <v>1037</v>
      </c>
      <c r="B15" s="74" t="s">
        <v>1038</v>
      </c>
      <c r="C15" s="57"/>
      <c r="D15" s="57" t="s">
        <v>1039</v>
      </c>
      <c r="E15" s="57"/>
      <c r="F15" s="57"/>
      <c r="G15" s="57" t="s">
        <v>75</v>
      </c>
      <c r="H15" s="57" t="s">
        <v>153</v>
      </c>
      <c r="I15" s="102" t="s">
        <v>132</v>
      </c>
      <c r="J15" s="59">
        <v>145.57</v>
      </c>
      <c r="K15" s="95">
        <v>27.6</v>
      </c>
      <c r="L15" s="96">
        <f>IF(J15&gt;0,(J15-K15)/J15,"")</f>
        <v>0.8104004946</v>
      </c>
      <c r="M15" s="97"/>
    </row>
    <row r="16" ht="24.0" customHeight="1">
      <c r="A16" s="116" t="s">
        <v>1040</v>
      </c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5"/>
    </row>
    <row r="17" ht="21.75" customHeight="1">
      <c r="A17" s="118" t="s">
        <v>1041</v>
      </c>
      <c r="B17" s="78" t="s">
        <v>1042</v>
      </c>
      <c r="C17" s="51" t="s">
        <v>1043</v>
      </c>
      <c r="D17" s="51" t="s">
        <v>1044</v>
      </c>
      <c r="E17" s="51"/>
      <c r="F17" s="51"/>
      <c r="G17" s="51" t="s">
        <v>75</v>
      </c>
      <c r="H17" s="51" t="s">
        <v>153</v>
      </c>
      <c r="I17" s="102" t="s">
        <v>132</v>
      </c>
      <c r="J17" s="53">
        <v>215.14</v>
      </c>
      <c r="K17" s="95">
        <v>199.9</v>
      </c>
      <c r="L17" s="100">
        <f t="shared" ref="L17:L33" si="2">IF(J17&gt;0,(J17-K17)/J17,"")</f>
        <v>0.07083759412</v>
      </c>
      <c r="M17" s="101"/>
    </row>
    <row r="18" ht="21.75" customHeight="1">
      <c r="A18" s="117" t="s">
        <v>1045</v>
      </c>
      <c r="B18" s="74" t="s">
        <v>1042</v>
      </c>
      <c r="C18" s="57" t="s">
        <v>1043</v>
      </c>
      <c r="D18" s="57" t="s">
        <v>1044</v>
      </c>
      <c r="E18" s="57"/>
      <c r="F18" s="57"/>
      <c r="G18" s="57" t="s">
        <v>75</v>
      </c>
      <c r="H18" s="57" t="s">
        <v>153</v>
      </c>
      <c r="I18" s="102" t="s">
        <v>132</v>
      </c>
      <c r="J18" s="59">
        <v>215.14</v>
      </c>
      <c r="K18" s="95">
        <v>199.9</v>
      </c>
      <c r="L18" s="96">
        <f t="shared" si="2"/>
        <v>0.07083759412</v>
      </c>
      <c r="M18" s="97"/>
    </row>
    <row r="19" ht="21.75" customHeight="1">
      <c r="A19" s="118" t="s">
        <v>1046</v>
      </c>
      <c r="B19" s="78" t="s">
        <v>1042</v>
      </c>
      <c r="C19" s="51" t="s">
        <v>1043</v>
      </c>
      <c r="D19" s="51" t="s">
        <v>1044</v>
      </c>
      <c r="E19" s="51"/>
      <c r="F19" s="51"/>
      <c r="G19" s="51" t="s">
        <v>75</v>
      </c>
      <c r="H19" s="51" t="s">
        <v>153</v>
      </c>
      <c r="I19" s="102" t="s">
        <v>132</v>
      </c>
      <c r="J19" s="53">
        <v>215.14</v>
      </c>
      <c r="K19" s="95">
        <v>199.9</v>
      </c>
      <c r="L19" s="100">
        <f t="shared" si="2"/>
        <v>0.07083759412</v>
      </c>
      <c r="M19" s="101"/>
    </row>
    <row r="20" ht="21.75" customHeight="1">
      <c r="A20" s="117" t="s">
        <v>1047</v>
      </c>
      <c r="B20" s="74" t="s">
        <v>1042</v>
      </c>
      <c r="C20" s="57" t="s">
        <v>1043</v>
      </c>
      <c r="D20" s="57" t="s">
        <v>1044</v>
      </c>
      <c r="E20" s="57"/>
      <c r="F20" s="57"/>
      <c r="G20" s="57" t="s">
        <v>75</v>
      </c>
      <c r="H20" s="57" t="s">
        <v>153</v>
      </c>
      <c r="I20" s="102" t="s">
        <v>132</v>
      </c>
      <c r="J20" s="59">
        <v>215.14</v>
      </c>
      <c r="K20" s="95">
        <v>199.9</v>
      </c>
      <c r="L20" s="96">
        <f t="shared" si="2"/>
        <v>0.07083759412</v>
      </c>
      <c r="M20" s="97"/>
    </row>
    <row r="21" ht="21.75" customHeight="1">
      <c r="A21" s="118" t="s">
        <v>1048</v>
      </c>
      <c r="B21" s="78" t="s">
        <v>1042</v>
      </c>
      <c r="C21" s="51" t="s">
        <v>1043</v>
      </c>
      <c r="D21" s="51" t="s">
        <v>1044</v>
      </c>
      <c r="E21" s="51"/>
      <c r="F21" s="51"/>
      <c r="G21" s="51" t="s">
        <v>75</v>
      </c>
      <c r="H21" s="51" t="s">
        <v>153</v>
      </c>
      <c r="I21" s="102" t="s">
        <v>132</v>
      </c>
      <c r="J21" s="53">
        <v>215.14</v>
      </c>
      <c r="K21" s="95">
        <v>199.9</v>
      </c>
      <c r="L21" s="100">
        <f t="shared" si="2"/>
        <v>0.07083759412</v>
      </c>
      <c r="M21" s="101"/>
    </row>
    <row r="22" ht="21.75" customHeight="1">
      <c r="A22" s="117" t="s">
        <v>1049</v>
      </c>
      <c r="B22" s="74" t="s">
        <v>1042</v>
      </c>
      <c r="C22" s="57" t="s">
        <v>1043</v>
      </c>
      <c r="D22" s="57" t="s">
        <v>1044</v>
      </c>
      <c r="E22" s="57"/>
      <c r="F22" s="57"/>
      <c r="G22" s="57" t="s">
        <v>75</v>
      </c>
      <c r="H22" s="57" t="s">
        <v>153</v>
      </c>
      <c r="I22" s="102" t="s">
        <v>132</v>
      </c>
      <c r="J22" s="59">
        <v>215.14</v>
      </c>
      <c r="K22" s="95">
        <v>199.9</v>
      </c>
      <c r="L22" s="96">
        <f t="shared" si="2"/>
        <v>0.07083759412</v>
      </c>
      <c r="M22" s="97"/>
    </row>
    <row r="23" ht="21.75" customHeight="1">
      <c r="A23" s="118" t="s">
        <v>1050</v>
      </c>
      <c r="B23" s="78" t="s">
        <v>1042</v>
      </c>
      <c r="C23" s="51" t="s">
        <v>1043</v>
      </c>
      <c r="D23" s="51" t="s">
        <v>1044</v>
      </c>
      <c r="E23" s="51"/>
      <c r="F23" s="51"/>
      <c r="G23" s="51" t="s">
        <v>75</v>
      </c>
      <c r="H23" s="51" t="s">
        <v>153</v>
      </c>
      <c r="I23" s="102" t="s">
        <v>132</v>
      </c>
      <c r="J23" s="53">
        <v>215.14</v>
      </c>
      <c r="K23" s="95">
        <v>199.9</v>
      </c>
      <c r="L23" s="100">
        <f t="shared" si="2"/>
        <v>0.07083759412</v>
      </c>
      <c r="M23" s="101"/>
    </row>
    <row r="24" ht="21.75" customHeight="1">
      <c r="A24" s="117" t="s">
        <v>1051</v>
      </c>
      <c r="B24" s="74" t="s">
        <v>1042</v>
      </c>
      <c r="C24" s="57" t="s">
        <v>1043</v>
      </c>
      <c r="D24" s="57" t="s">
        <v>1044</v>
      </c>
      <c r="E24" s="57"/>
      <c r="F24" s="57"/>
      <c r="G24" s="57" t="s">
        <v>75</v>
      </c>
      <c r="H24" s="57" t="s">
        <v>153</v>
      </c>
      <c r="I24" s="102" t="s">
        <v>132</v>
      </c>
      <c r="J24" s="59">
        <v>215.14</v>
      </c>
      <c r="K24" s="95">
        <v>199.9</v>
      </c>
      <c r="L24" s="96">
        <f t="shared" si="2"/>
        <v>0.07083759412</v>
      </c>
      <c r="M24" s="97"/>
    </row>
    <row r="25" ht="21.75" customHeight="1">
      <c r="A25" s="118" t="s">
        <v>1052</v>
      </c>
      <c r="B25" s="78" t="s">
        <v>1042</v>
      </c>
      <c r="C25" s="51" t="s">
        <v>1043</v>
      </c>
      <c r="D25" s="51" t="s">
        <v>1044</v>
      </c>
      <c r="E25" s="51"/>
      <c r="F25" s="51"/>
      <c r="G25" s="51" t="s">
        <v>75</v>
      </c>
      <c r="H25" s="51" t="s">
        <v>153</v>
      </c>
      <c r="I25" s="102" t="s">
        <v>132</v>
      </c>
      <c r="J25" s="53">
        <v>215.14</v>
      </c>
      <c r="K25" s="95">
        <v>199.9</v>
      </c>
      <c r="L25" s="100">
        <f t="shared" si="2"/>
        <v>0.07083759412</v>
      </c>
      <c r="M25" s="101"/>
    </row>
    <row r="26" ht="21.75" customHeight="1">
      <c r="A26" s="117" t="s">
        <v>1053</v>
      </c>
      <c r="B26" s="74" t="s">
        <v>1042</v>
      </c>
      <c r="C26" s="57" t="s">
        <v>1043</v>
      </c>
      <c r="D26" s="57" t="s">
        <v>1044</v>
      </c>
      <c r="E26" s="57"/>
      <c r="F26" s="57"/>
      <c r="G26" s="57" t="s">
        <v>75</v>
      </c>
      <c r="H26" s="57" t="s">
        <v>153</v>
      </c>
      <c r="I26" s="102" t="s">
        <v>132</v>
      </c>
      <c r="J26" s="59">
        <v>215.14</v>
      </c>
      <c r="K26" s="95">
        <v>199.9</v>
      </c>
      <c r="L26" s="96">
        <f t="shared" si="2"/>
        <v>0.07083759412</v>
      </c>
      <c r="M26" s="97"/>
    </row>
    <row r="27" ht="21.75" customHeight="1">
      <c r="A27" s="118" t="s">
        <v>1054</v>
      </c>
      <c r="B27" s="78" t="s">
        <v>1042</v>
      </c>
      <c r="C27" s="51" t="s">
        <v>1043</v>
      </c>
      <c r="D27" s="51" t="s">
        <v>1044</v>
      </c>
      <c r="E27" s="51"/>
      <c r="F27" s="51"/>
      <c r="G27" s="51" t="s">
        <v>75</v>
      </c>
      <c r="H27" s="51" t="s">
        <v>153</v>
      </c>
      <c r="I27" s="102" t="s">
        <v>132</v>
      </c>
      <c r="J27" s="53">
        <v>215.14</v>
      </c>
      <c r="K27" s="95">
        <v>199.9</v>
      </c>
      <c r="L27" s="100">
        <f t="shared" si="2"/>
        <v>0.07083759412</v>
      </c>
      <c r="M27" s="101"/>
    </row>
    <row r="28" ht="21.75" customHeight="1">
      <c r="A28" s="117" t="s">
        <v>1055</v>
      </c>
      <c r="B28" s="74" t="s">
        <v>1042</v>
      </c>
      <c r="C28" s="57" t="s">
        <v>1043</v>
      </c>
      <c r="D28" s="57" t="s">
        <v>1044</v>
      </c>
      <c r="E28" s="57"/>
      <c r="F28" s="57"/>
      <c r="G28" s="57" t="s">
        <v>75</v>
      </c>
      <c r="H28" s="57" t="s">
        <v>153</v>
      </c>
      <c r="I28" s="102" t="s">
        <v>132</v>
      </c>
      <c r="J28" s="59">
        <v>215.14</v>
      </c>
      <c r="K28" s="95">
        <v>199.9</v>
      </c>
      <c r="L28" s="96">
        <f t="shared" si="2"/>
        <v>0.07083759412</v>
      </c>
      <c r="M28" s="97"/>
    </row>
    <row r="29" ht="21.75" customHeight="1">
      <c r="A29" s="118" t="s">
        <v>1056</v>
      </c>
      <c r="B29" s="78" t="s">
        <v>1042</v>
      </c>
      <c r="C29" s="51" t="s">
        <v>1043</v>
      </c>
      <c r="D29" s="51" t="s">
        <v>1044</v>
      </c>
      <c r="E29" s="51"/>
      <c r="F29" s="51"/>
      <c r="G29" s="51" t="s">
        <v>75</v>
      </c>
      <c r="H29" s="51" t="s">
        <v>153</v>
      </c>
      <c r="I29" s="102" t="s">
        <v>132</v>
      </c>
      <c r="J29" s="53">
        <v>215.14</v>
      </c>
      <c r="K29" s="95">
        <v>199.9</v>
      </c>
      <c r="L29" s="100">
        <f t="shared" si="2"/>
        <v>0.07083759412</v>
      </c>
      <c r="M29" s="101"/>
    </row>
    <row r="30" ht="21.75" customHeight="1">
      <c r="A30" s="117" t="s">
        <v>1057</v>
      </c>
      <c r="B30" s="74" t="s">
        <v>1042</v>
      </c>
      <c r="C30" s="57" t="s">
        <v>1043</v>
      </c>
      <c r="D30" s="57" t="s">
        <v>1044</v>
      </c>
      <c r="E30" s="57"/>
      <c r="F30" s="57"/>
      <c r="G30" s="57" t="s">
        <v>75</v>
      </c>
      <c r="H30" s="57" t="s">
        <v>153</v>
      </c>
      <c r="I30" s="102" t="s">
        <v>132</v>
      </c>
      <c r="J30" s="59">
        <v>215.14</v>
      </c>
      <c r="K30" s="95">
        <v>199.9</v>
      </c>
      <c r="L30" s="96">
        <f t="shared" si="2"/>
        <v>0.07083759412</v>
      </c>
      <c r="M30" s="97"/>
    </row>
    <row r="31" ht="21.75" customHeight="1">
      <c r="A31" s="118" t="s">
        <v>1058</v>
      </c>
      <c r="B31" s="78" t="s">
        <v>1042</v>
      </c>
      <c r="C31" s="51" t="s">
        <v>1043</v>
      </c>
      <c r="D31" s="51" t="s">
        <v>1044</v>
      </c>
      <c r="E31" s="51"/>
      <c r="F31" s="51"/>
      <c r="G31" s="51" t="s">
        <v>75</v>
      </c>
      <c r="H31" s="51" t="s">
        <v>153</v>
      </c>
      <c r="I31" s="102" t="s">
        <v>132</v>
      </c>
      <c r="J31" s="53">
        <v>215.14</v>
      </c>
      <c r="K31" s="95">
        <v>199.9</v>
      </c>
      <c r="L31" s="100">
        <f t="shared" si="2"/>
        <v>0.07083759412</v>
      </c>
      <c r="M31" s="101"/>
    </row>
    <row r="32" ht="21.75" customHeight="1">
      <c r="A32" s="117" t="s">
        <v>1059</v>
      </c>
      <c r="B32" s="74" t="s">
        <v>1042</v>
      </c>
      <c r="C32" s="57" t="s">
        <v>1043</v>
      </c>
      <c r="D32" s="57" t="s">
        <v>1044</v>
      </c>
      <c r="E32" s="57"/>
      <c r="F32" s="57"/>
      <c r="G32" s="57" t="s">
        <v>75</v>
      </c>
      <c r="H32" s="57" t="s">
        <v>153</v>
      </c>
      <c r="I32" s="102" t="s">
        <v>132</v>
      </c>
      <c r="J32" s="59">
        <v>215.14</v>
      </c>
      <c r="K32" s="95">
        <v>199.9</v>
      </c>
      <c r="L32" s="96">
        <f t="shared" si="2"/>
        <v>0.07083759412</v>
      </c>
      <c r="M32" s="97"/>
    </row>
    <row r="33" ht="21.75" customHeight="1">
      <c r="A33" s="118" t="s">
        <v>1060</v>
      </c>
      <c r="B33" s="78" t="s">
        <v>1042</v>
      </c>
      <c r="C33" s="51" t="s">
        <v>1043</v>
      </c>
      <c r="D33" s="51" t="s">
        <v>1044</v>
      </c>
      <c r="E33" s="51"/>
      <c r="F33" s="51"/>
      <c r="G33" s="51" t="s">
        <v>75</v>
      </c>
      <c r="H33" s="51" t="s">
        <v>153</v>
      </c>
      <c r="I33" s="102" t="s">
        <v>132</v>
      </c>
      <c r="J33" s="53">
        <v>215.14</v>
      </c>
      <c r="K33" s="95">
        <v>199.9</v>
      </c>
      <c r="L33" s="100">
        <f t="shared" si="2"/>
        <v>0.07083759412</v>
      </c>
      <c r="M33" s="101"/>
    </row>
    <row r="34" ht="24.0" customHeight="1">
      <c r="A34" s="116" t="s">
        <v>1061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5"/>
    </row>
    <row r="35" ht="36.0" customHeight="1">
      <c r="A35" s="117" t="s">
        <v>1062</v>
      </c>
      <c r="B35" s="74" t="s">
        <v>1063</v>
      </c>
      <c r="C35" s="57"/>
      <c r="D35" s="57" t="s">
        <v>1064</v>
      </c>
      <c r="E35" s="57"/>
      <c r="F35" s="57"/>
      <c r="G35" s="57" t="s">
        <v>75</v>
      </c>
      <c r="H35" s="57" t="s">
        <v>153</v>
      </c>
      <c r="I35" s="102" t="s">
        <v>132</v>
      </c>
      <c r="J35" s="59">
        <v>275.0</v>
      </c>
      <c r="K35" s="95">
        <v>275.0</v>
      </c>
      <c r="L35" s="96">
        <f t="shared" ref="L35:L37" si="3">IF(J35&gt;0,(J35-K35)/J35,"")</f>
        <v>0</v>
      </c>
      <c r="M35" s="97" t="s">
        <v>1065</v>
      </c>
    </row>
    <row r="36" ht="36.0" customHeight="1">
      <c r="A36" s="118" t="s">
        <v>1066</v>
      </c>
      <c r="B36" s="78" t="s">
        <v>1067</v>
      </c>
      <c r="C36" s="51"/>
      <c r="D36" s="51" t="s">
        <v>1064</v>
      </c>
      <c r="E36" s="51"/>
      <c r="F36" s="51"/>
      <c r="G36" s="51" t="s">
        <v>75</v>
      </c>
      <c r="H36" s="51" t="s">
        <v>153</v>
      </c>
      <c r="I36" s="102" t="s">
        <v>132</v>
      </c>
      <c r="J36" s="53">
        <v>275.0</v>
      </c>
      <c r="K36" s="95">
        <v>275.0</v>
      </c>
      <c r="L36" s="100">
        <f t="shared" si="3"/>
        <v>0</v>
      </c>
      <c r="M36" s="101" t="s">
        <v>1068</v>
      </c>
    </row>
    <row r="37" ht="36.0" customHeight="1">
      <c r="A37" s="117" t="s">
        <v>1069</v>
      </c>
      <c r="B37" s="74" t="s">
        <v>1070</v>
      </c>
      <c r="C37" s="57"/>
      <c r="D37" s="57" t="s">
        <v>1064</v>
      </c>
      <c r="E37" s="57"/>
      <c r="F37" s="57"/>
      <c r="G37" s="57" t="s">
        <v>75</v>
      </c>
      <c r="H37" s="57" t="s">
        <v>153</v>
      </c>
      <c r="I37" s="102" t="s">
        <v>132</v>
      </c>
      <c r="J37" s="59">
        <v>275.0</v>
      </c>
      <c r="K37" s="95">
        <v>275.0</v>
      </c>
      <c r="L37" s="96">
        <f t="shared" si="3"/>
        <v>0</v>
      </c>
      <c r="M37" s="97" t="s">
        <v>1071</v>
      </c>
    </row>
    <row r="38" ht="15.75" customHeight="1">
      <c r="G38" s="56"/>
      <c r="H38" s="56"/>
      <c r="I38" s="56"/>
    </row>
    <row r="39" ht="25.5" customHeight="1">
      <c r="A39" s="103" t="s">
        <v>1072</v>
      </c>
      <c r="B39" s="104"/>
      <c r="C39" s="104"/>
      <c r="D39" s="104"/>
      <c r="E39" s="104"/>
      <c r="F39" s="105"/>
      <c r="G39" s="106"/>
      <c r="H39" s="106"/>
      <c r="I39" s="106"/>
      <c r="J39" s="107">
        <v>33655.0</v>
      </c>
      <c r="K39" s="106"/>
      <c r="L39" s="106"/>
      <c r="M39" s="106"/>
    </row>
    <row r="40" ht="15.75" customHeight="1">
      <c r="G40" s="56"/>
      <c r="H40" s="56"/>
      <c r="I40" s="56"/>
    </row>
    <row r="41" ht="18.0" customHeight="1">
      <c r="A41" s="32" t="s">
        <v>72</v>
      </c>
    </row>
    <row r="42" ht="15.75" customHeight="1">
      <c r="G42" s="56"/>
      <c r="H42" s="56"/>
      <c r="I42" s="56"/>
    </row>
    <row r="43" ht="15.75" customHeight="1">
      <c r="G43" s="56"/>
      <c r="H43" s="56"/>
      <c r="I43" s="56"/>
    </row>
    <row r="44" ht="15.75" customHeight="1">
      <c r="G44" s="56"/>
      <c r="H44" s="56"/>
      <c r="I44" s="56"/>
    </row>
    <row r="45" ht="15.75" customHeight="1">
      <c r="G45" s="56"/>
      <c r="H45" s="56"/>
      <c r="I45" s="56"/>
    </row>
    <row r="46" ht="15.75" customHeight="1">
      <c r="G46" s="56"/>
      <c r="H46" s="56"/>
      <c r="I46" s="56"/>
    </row>
    <row r="47" ht="15.75" customHeight="1">
      <c r="G47" s="56"/>
      <c r="H47" s="56"/>
      <c r="I47" s="56"/>
    </row>
    <row r="48" ht="15.75" customHeight="1">
      <c r="G48" s="56"/>
      <c r="H48" s="56"/>
      <c r="I48" s="56"/>
    </row>
    <row r="49" ht="15.75" customHeight="1">
      <c r="G49" s="56"/>
      <c r="H49" s="56"/>
      <c r="I49" s="56"/>
    </row>
    <row r="50" ht="15.75" customHeight="1">
      <c r="G50" s="56"/>
      <c r="H50" s="56"/>
      <c r="I50" s="56"/>
    </row>
    <row r="51" ht="15.75" customHeight="1">
      <c r="G51" s="56"/>
      <c r="H51" s="56"/>
      <c r="I51" s="56"/>
    </row>
    <row r="52" ht="15.75" customHeight="1">
      <c r="G52" s="56"/>
      <c r="H52" s="56"/>
      <c r="I52" s="56"/>
    </row>
    <row r="53" ht="15.75" customHeight="1">
      <c r="G53" s="56"/>
      <c r="H53" s="56"/>
      <c r="I53" s="56"/>
    </row>
    <row r="54" ht="15.75" customHeight="1">
      <c r="G54" s="56"/>
      <c r="H54" s="56"/>
      <c r="I54" s="56"/>
    </row>
    <row r="55" ht="15.75" customHeight="1">
      <c r="G55" s="56"/>
      <c r="H55" s="56"/>
      <c r="I55" s="56"/>
    </row>
    <row r="56" ht="15.75" customHeight="1">
      <c r="G56" s="56"/>
      <c r="H56" s="56"/>
      <c r="I56" s="56"/>
    </row>
    <row r="57" ht="15.75" customHeight="1">
      <c r="G57" s="56"/>
      <c r="H57" s="56"/>
      <c r="I57" s="56"/>
    </row>
    <row r="58" ht="15.75" customHeight="1">
      <c r="G58" s="56"/>
      <c r="H58" s="56"/>
      <c r="I58" s="56"/>
    </row>
    <row r="59" ht="15.75" customHeight="1">
      <c r="G59" s="56"/>
      <c r="H59" s="56"/>
      <c r="I59" s="56"/>
    </row>
    <row r="60" ht="15.75" customHeight="1">
      <c r="G60" s="56"/>
      <c r="H60" s="56"/>
      <c r="I60" s="56"/>
    </row>
    <row r="61" ht="15.75" customHeight="1">
      <c r="G61" s="56"/>
      <c r="H61" s="56"/>
      <c r="I61" s="56"/>
    </row>
    <row r="62" ht="15.75" customHeight="1">
      <c r="G62" s="56"/>
      <c r="H62" s="56"/>
      <c r="I62" s="56"/>
    </row>
    <row r="63" ht="15.75" customHeight="1">
      <c r="G63" s="56"/>
      <c r="H63" s="56"/>
      <c r="I63" s="56"/>
    </row>
    <row r="64" ht="15.75" customHeight="1">
      <c r="G64" s="56"/>
      <c r="H64" s="56"/>
      <c r="I64" s="56"/>
    </row>
    <row r="65" ht="15.75" customHeight="1">
      <c r="G65" s="56"/>
      <c r="H65" s="56"/>
      <c r="I65" s="56"/>
    </row>
    <row r="66" ht="15.75" customHeight="1">
      <c r="G66" s="56"/>
      <c r="H66" s="56"/>
      <c r="I66" s="56"/>
    </row>
    <row r="67" ht="15.75" customHeight="1">
      <c r="G67" s="56"/>
      <c r="H67" s="56"/>
      <c r="I67" s="56"/>
    </row>
    <row r="68" ht="15.75" customHeight="1">
      <c r="G68" s="56"/>
      <c r="H68" s="56"/>
      <c r="I68" s="56"/>
    </row>
    <row r="69" ht="15.75" customHeight="1">
      <c r="G69" s="56"/>
      <c r="H69" s="56"/>
      <c r="I69" s="56"/>
    </row>
    <row r="70" ht="15.75" customHeight="1">
      <c r="G70" s="56"/>
      <c r="H70" s="56"/>
      <c r="I70" s="56"/>
    </row>
    <row r="71" ht="15.75" customHeight="1">
      <c r="G71" s="56"/>
      <c r="H71" s="56"/>
      <c r="I71" s="56"/>
    </row>
    <row r="72" ht="15.75" customHeight="1">
      <c r="G72" s="56"/>
      <c r="H72" s="56"/>
      <c r="I72" s="56"/>
    </row>
    <row r="73" ht="15.75" customHeight="1">
      <c r="G73" s="56"/>
      <c r="H73" s="56"/>
      <c r="I73" s="56"/>
    </row>
    <row r="74" ht="15.75" customHeight="1">
      <c r="G74" s="56"/>
      <c r="H74" s="56"/>
      <c r="I74" s="56"/>
    </row>
    <row r="75" ht="15.75" customHeight="1">
      <c r="G75" s="56"/>
      <c r="H75" s="56"/>
      <c r="I75" s="56"/>
    </row>
    <row r="76" ht="15.75" customHeight="1">
      <c r="G76" s="56"/>
      <c r="H76" s="56"/>
      <c r="I76" s="56"/>
    </row>
    <row r="77" ht="15.75" customHeight="1">
      <c r="G77" s="56"/>
      <c r="H77" s="56"/>
      <c r="I77" s="56"/>
    </row>
    <row r="78" ht="15.75" customHeight="1">
      <c r="G78" s="56"/>
      <c r="H78" s="56"/>
      <c r="I78" s="56"/>
    </row>
    <row r="79" ht="15.75" customHeight="1">
      <c r="G79" s="56"/>
      <c r="H79" s="56"/>
      <c r="I79" s="56"/>
    </row>
    <row r="80" ht="15.75" customHeight="1">
      <c r="G80" s="56"/>
      <c r="H80" s="56"/>
      <c r="I80" s="56"/>
    </row>
    <row r="81" ht="15.75" customHeight="1">
      <c r="G81" s="56"/>
      <c r="H81" s="56"/>
      <c r="I81" s="56"/>
    </row>
    <row r="82" ht="15.75" customHeight="1">
      <c r="G82" s="56"/>
      <c r="H82" s="56"/>
      <c r="I82" s="56"/>
    </row>
    <row r="83" ht="15.75" customHeight="1">
      <c r="G83" s="56"/>
      <c r="H83" s="56"/>
      <c r="I83" s="56"/>
    </row>
    <row r="84" ht="15.75" customHeight="1">
      <c r="G84" s="56"/>
      <c r="H84" s="56"/>
      <c r="I84" s="56"/>
    </row>
    <row r="85" ht="15.75" customHeight="1">
      <c r="G85" s="56"/>
      <c r="H85" s="56"/>
      <c r="I85" s="56"/>
    </row>
    <row r="86" ht="15.75" customHeight="1">
      <c r="G86" s="56"/>
      <c r="H86" s="56"/>
      <c r="I86" s="56"/>
    </row>
    <row r="87" ht="15.75" customHeight="1">
      <c r="G87" s="56"/>
      <c r="H87" s="56"/>
      <c r="I87" s="56"/>
    </row>
    <row r="88" ht="15.75" customHeight="1">
      <c r="G88" s="56"/>
      <c r="H88" s="56"/>
      <c r="I88" s="56"/>
    </row>
    <row r="89" ht="15.75" customHeight="1">
      <c r="G89" s="56"/>
      <c r="H89" s="56"/>
      <c r="I89" s="56"/>
    </row>
    <row r="90" ht="15.75" customHeight="1">
      <c r="G90" s="56"/>
      <c r="H90" s="56"/>
      <c r="I90" s="56"/>
    </row>
    <row r="91" ht="15.75" customHeight="1">
      <c r="G91" s="56"/>
      <c r="H91" s="56"/>
      <c r="I91" s="56"/>
    </row>
    <row r="92" ht="15.75" customHeight="1">
      <c r="G92" s="56"/>
      <c r="H92" s="56"/>
      <c r="I92" s="56"/>
    </row>
    <row r="93" ht="15.75" customHeight="1">
      <c r="G93" s="56"/>
      <c r="H93" s="56"/>
      <c r="I93" s="56"/>
    </row>
    <row r="94" ht="15.75" customHeight="1">
      <c r="G94" s="56"/>
      <c r="H94" s="56"/>
      <c r="I94" s="56"/>
    </row>
    <row r="95" ht="15.75" customHeight="1">
      <c r="G95" s="56"/>
      <c r="H95" s="56"/>
      <c r="I95" s="56"/>
    </row>
    <row r="96" ht="15.75" customHeight="1">
      <c r="G96" s="56"/>
      <c r="H96" s="56"/>
      <c r="I96" s="56"/>
    </row>
    <row r="97" ht="15.75" customHeight="1">
      <c r="G97" s="56"/>
      <c r="H97" s="56"/>
      <c r="I97" s="56"/>
    </row>
    <row r="98" ht="15.75" customHeight="1">
      <c r="G98" s="56"/>
      <c r="H98" s="56"/>
      <c r="I98" s="56"/>
    </row>
    <row r="99" ht="15.75" customHeight="1">
      <c r="G99" s="56"/>
      <c r="H99" s="56"/>
      <c r="I99" s="56"/>
    </row>
    <row r="100" ht="15.75" customHeight="1">
      <c r="G100" s="56"/>
      <c r="H100" s="56"/>
      <c r="I100" s="56"/>
    </row>
    <row r="101" ht="15.75" customHeight="1">
      <c r="G101" s="56"/>
      <c r="H101" s="56"/>
      <c r="I101" s="56"/>
    </row>
    <row r="102" ht="15.75" customHeight="1">
      <c r="G102" s="56"/>
      <c r="H102" s="56"/>
      <c r="I102" s="56"/>
    </row>
    <row r="103" ht="15.75" customHeight="1">
      <c r="G103" s="56"/>
      <c r="H103" s="56"/>
      <c r="I103" s="56"/>
    </row>
    <row r="104" ht="15.75" customHeight="1">
      <c r="G104" s="56"/>
      <c r="H104" s="56"/>
      <c r="I104" s="56"/>
    </row>
    <row r="105" ht="15.75" customHeight="1">
      <c r="G105" s="56"/>
      <c r="H105" s="56"/>
      <c r="I105" s="56"/>
    </row>
    <row r="106" ht="15.75" customHeight="1">
      <c r="G106" s="56"/>
      <c r="H106" s="56"/>
      <c r="I106" s="56"/>
    </row>
    <row r="107" ht="15.75" customHeight="1">
      <c r="G107" s="56"/>
      <c r="H107" s="56"/>
      <c r="I107" s="56"/>
    </row>
    <row r="108" ht="15.75" customHeight="1">
      <c r="G108" s="56"/>
      <c r="H108" s="56"/>
      <c r="I108" s="56"/>
    </row>
    <row r="109" ht="15.75" customHeight="1">
      <c r="G109" s="56"/>
      <c r="H109" s="56"/>
      <c r="I109" s="56"/>
    </row>
    <row r="110" ht="15.75" customHeight="1">
      <c r="G110" s="56"/>
      <c r="H110" s="56"/>
      <c r="I110" s="56"/>
    </row>
    <row r="111" ht="15.75" customHeight="1">
      <c r="G111" s="56"/>
      <c r="H111" s="56"/>
      <c r="I111" s="56"/>
    </row>
    <row r="112" ht="15.75" customHeight="1">
      <c r="G112" s="56"/>
      <c r="H112" s="56"/>
      <c r="I112" s="56"/>
    </row>
    <row r="113" ht="15.75" customHeight="1">
      <c r="G113" s="56"/>
      <c r="H113" s="56"/>
      <c r="I113" s="56"/>
    </row>
    <row r="114" ht="15.75" customHeight="1">
      <c r="G114" s="56"/>
      <c r="H114" s="56"/>
      <c r="I114" s="56"/>
    </row>
    <row r="115" ht="15.75" customHeight="1">
      <c r="G115" s="56"/>
      <c r="H115" s="56"/>
      <c r="I115" s="56"/>
    </row>
    <row r="116" ht="15.75" customHeight="1">
      <c r="G116" s="56"/>
      <c r="H116" s="56"/>
      <c r="I116" s="56"/>
    </row>
    <row r="117" ht="15.75" customHeight="1">
      <c r="G117" s="56"/>
      <c r="H117" s="56"/>
      <c r="I117" s="56"/>
    </row>
    <row r="118" ht="15.75" customHeight="1">
      <c r="G118" s="56"/>
      <c r="H118" s="56"/>
      <c r="I118" s="56"/>
    </row>
    <row r="119" ht="15.75" customHeight="1">
      <c r="G119" s="56"/>
      <c r="H119" s="56"/>
      <c r="I119" s="56"/>
    </row>
    <row r="120" ht="15.75" customHeight="1">
      <c r="G120" s="56"/>
      <c r="H120" s="56"/>
      <c r="I120" s="56"/>
    </row>
    <row r="121" ht="15.75" customHeight="1">
      <c r="G121" s="56"/>
      <c r="H121" s="56"/>
      <c r="I121" s="56"/>
    </row>
    <row r="122" ht="15.75" customHeight="1">
      <c r="G122" s="56"/>
      <c r="H122" s="56"/>
      <c r="I122" s="56"/>
    </row>
    <row r="123" ht="15.75" customHeight="1">
      <c r="G123" s="56"/>
      <c r="H123" s="56"/>
      <c r="I123" s="56"/>
    </row>
    <row r="124" ht="15.75" customHeight="1">
      <c r="G124" s="56"/>
      <c r="H124" s="56"/>
      <c r="I124" s="56"/>
    </row>
    <row r="125" ht="15.75" customHeight="1">
      <c r="G125" s="56"/>
      <c r="H125" s="56"/>
      <c r="I125" s="56"/>
    </row>
    <row r="126" ht="15.75" customHeight="1">
      <c r="G126" s="56"/>
      <c r="H126" s="56"/>
      <c r="I126" s="56"/>
    </row>
    <row r="127" ht="15.75" customHeight="1">
      <c r="G127" s="56"/>
      <c r="H127" s="56"/>
      <c r="I127" s="56"/>
    </row>
    <row r="128" ht="15.75" customHeight="1">
      <c r="G128" s="56"/>
      <c r="H128" s="56"/>
      <c r="I128" s="56"/>
    </row>
    <row r="129" ht="15.75" customHeight="1">
      <c r="G129" s="56"/>
      <c r="H129" s="56"/>
      <c r="I129" s="56"/>
    </row>
    <row r="130" ht="15.75" customHeight="1">
      <c r="G130" s="56"/>
      <c r="H130" s="56"/>
      <c r="I130" s="56"/>
    </row>
    <row r="131" ht="15.75" customHeight="1">
      <c r="G131" s="56"/>
      <c r="H131" s="56"/>
      <c r="I131" s="56"/>
    </row>
    <row r="132" ht="15.75" customHeight="1">
      <c r="G132" s="56"/>
      <c r="H132" s="56"/>
      <c r="I132" s="56"/>
    </row>
    <row r="133" ht="15.75" customHeight="1">
      <c r="G133" s="56"/>
      <c r="H133" s="56"/>
      <c r="I133" s="56"/>
    </row>
    <row r="134" ht="15.75" customHeight="1">
      <c r="G134" s="56"/>
      <c r="H134" s="56"/>
      <c r="I134" s="56"/>
    </row>
    <row r="135" ht="15.75" customHeight="1">
      <c r="G135" s="56"/>
      <c r="H135" s="56"/>
      <c r="I135" s="56"/>
    </row>
    <row r="136" ht="15.75" customHeight="1">
      <c r="G136" s="56"/>
      <c r="H136" s="56"/>
      <c r="I136" s="56"/>
    </row>
    <row r="137" ht="15.75" customHeight="1">
      <c r="G137" s="56"/>
      <c r="H137" s="56"/>
      <c r="I137" s="56"/>
    </row>
    <row r="138" ht="15.75" customHeight="1">
      <c r="G138" s="56"/>
      <c r="H138" s="56"/>
      <c r="I138" s="56"/>
    </row>
    <row r="139" ht="15.75" customHeight="1">
      <c r="G139" s="56"/>
      <c r="H139" s="56"/>
      <c r="I139" s="56"/>
    </row>
    <row r="140" ht="15.75" customHeight="1">
      <c r="G140" s="56"/>
      <c r="H140" s="56"/>
      <c r="I140" s="56"/>
    </row>
    <row r="141" ht="15.75" customHeight="1">
      <c r="G141" s="56"/>
      <c r="H141" s="56"/>
      <c r="I141" s="56"/>
    </row>
    <row r="142" ht="15.75" customHeight="1">
      <c r="G142" s="56"/>
      <c r="H142" s="56"/>
      <c r="I142" s="56"/>
    </row>
    <row r="143" ht="15.75" customHeight="1">
      <c r="G143" s="56"/>
      <c r="H143" s="56"/>
      <c r="I143" s="56"/>
    </row>
    <row r="144" ht="15.75" customHeight="1">
      <c r="G144" s="56"/>
      <c r="H144" s="56"/>
      <c r="I144" s="56"/>
    </row>
    <row r="145" ht="15.75" customHeight="1">
      <c r="G145" s="56"/>
      <c r="H145" s="56"/>
      <c r="I145" s="56"/>
    </row>
    <row r="146" ht="15.75" customHeight="1">
      <c r="G146" s="56"/>
      <c r="H146" s="56"/>
      <c r="I146" s="56"/>
    </row>
    <row r="147" ht="15.75" customHeight="1">
      <c r="G147" s="56"/>
      <c r="H147" s="56"/>
      <c r="I147" s="56"/>
    </row>
    <row r="148" ht="15.75" customHeight="1">
      <c r="G148" s="56"/>
      <c r="H148" s="56"/>
      <c r="I148" s="56"/>
    </row>
    <row r="149" ht="15.75" customHeight="1">
      <c r="G149" s="56"/>
      <c r="H149" s="56"/>
      <c r="I149" s="56"/>
    </row>
    <row r="150" ht="15.75" customHeight="1">
      <c r="G150" s="56"/>
      <c r="H150" s="56"/>
      <c r="I150" s="56"/>
    </row>
    <row r="151" ht="15.75" customHeight="1">
      <c r="G151" s="56"/>
      <c r="H151" s="56"/>
      <c r="I151" s="56"/>
    </row>
    <row r="152" ht="15.75" customHeight="1">
      <c r="G152" s="56"/>
      <c r="H152" s="56"/>
      <c r="I152" s="56"/>
    </row>
    <row r="153" ht="15.75" customHeight="1">
      <c r="G153" s="56"/>
      <c r="H153" s="56"/>
      <c r="I153" s="56"/>
    </row>
    <row r="154" ht="15.75" customHeight="1">
      <c r="G154" s="56"/>
      <c r="H154" s="56"/>
      <c r="I154" s="56"/>
    </row>
    <row r="155" ht="15.75" customHeight="1">
      <c r="G155" s="56"/>
      <c r="H155" s="56"/>
      <c r="I155" s="56"/>
    </row>
    <row r="156" ht="15.75" customHeight="1">
      <c r="G156" s="56"/>
      <c r="H156" s="56"/>
      <c r="I156" s="56"/>
    </row>
    <row r="157" ht="15.75" customHeight="1">
      <c r="G157" s="56"/>
      <c r="H157" s="56"/>
      <c r="I157" s="56"/>
    </row>
    <row r="158" ht="15.75" customHeight="1">
      <c r="G158" s="56"/>
      <c r="H158" s="56"/>
      <c r="I158" s="56"/>
    </row>
    <row r="159" ht="15.75" customHeight="1">
      <c r="G159" s="56"/>
      <c r="H159" s="56"/>
      <c r="I159" s="56"/>
    </row>
    <row r="160" ht="15.75" customHeight="1">
      <c r="G160" s="56"/>
      <c r="H160" s="56"/>
      <c r="I160" s="56"/>
    </row>
    <row r="161" ht="15.75" customHeight="1">
      <c r="G161" s="56"/>
      <c r="H161" s="56"/>
      <c r="I161" s="56"/>
    </row>
    <row r="162" ht="15.75" customHeight="1">
      <c r="G162" s="56"/>
      <c r="H162" s="56"/>
      <c r="I162" s="56"/>
    </row>
    <row r="163" ht="15.75" customHeight="1">
      <c r="G163" s="56"/>
      <c r="H163" s="56"/>
      <c r="I163" s="56"/>
    </row>
    <row r="164" ht="15.75" customHeight="1">
      <c r="G164" s="56"/>
      <c r="H164" s="56"/>
      <c r="I164" s="56"/>
    </row>
    <row r="165" ht="15.75" customHeight="1">
      <c r="G165" s="56"/>
      <c r="H165" s="56"/>
      <c r="I165" s="56"/>
    </row>
    <row r="166" ht="15.75" customHeight="1">
      <c r="G166" s="56"/>
      <c r="H166" s="56"/>
      <c r="I166" s="56"/>
    </row>
    <row r="167" ht="15.75" customHeight="1">
      <c r="G167" s="56"/>
      <c r="H167" s="56"/>
      <c r="I167" s="56"/>
    </row>
    <row r="168" ht="15.75" customHeight="1">
      <c r="G168" s="56"/>
      <c r="H168" s="56"/>
      <c r="I168" s="56"/>
    </row>
    <row r="169" ht="15.75" customHeight="1">
      <c r="G169" s="56"/>
      <c r="H169" s="56"/>
      <c r="I169" s="56"/>
    </row>
    <row r="170" ht="15.75" customHeight="1">
      <c r="G170" s="56"/>
      <c r="H170" s="56"/>
      <c r="I170" s="56"/>
    </row>
    <row r="171" ht="15.75" customHeight="1">
      <c r="G171" s="56"/>
      <c r="H171" s="56"/>
      <c r="I171" s="56"/>
    </row>
    <row r="172" ht="15.75" customHeight="1">
      <c r="G172" s="56"/>
      <c r="H172" s="56"/>
      <c r="I172" s="56"/>
    </row>
    <row r="173" ht="15.75" customHeight="1">
      <c r="G173" s="56"/>
      <c r="H173" s="56"/>
      <c r="I173" s="56"/>
    </row>
    <row r="174" ht="15.75" customHeight="1">
      <c r="G174" s="56"/>
      <c r="H174" s="56"/>
      <c r="I174" s="56"/>
    </row>
    <row r="175" ht="15.75" customHeight="1">
      <c r="G175" s="56"/>
      <c r="H175" s="56"/>
      <c r="I175" s="56"/>
    </row>
    <row r="176" ht="15.75" customHeight="1">
      <c r="G176" s="56"/>
      <c r="H176" s="56"/>
      <c r="I176" s="56"/>
    </row>
    <row r="177" ht="15.75" customHeight="1">
      <c r="G177" s="56"/>
      <c r="H177" s="56"/>
      <c r="I177" s="56"/>
    </row>
    <row r="178" ht="15.75" customHeight="1">
      <c r="G178" s="56"/>
      <c r="H178" s="56"/>
      <c r="I178" s="56"/>
    </row>
    <row r="179" ht="15.75" customHeight="1">
      <c r="G179" s="56"/>
      <c r="H179" s="56"/>
      <c r="I179" s="56"/>
    </row>
    <row r="180" ht="15.75" customHeight="1">
      <c r="G180" s="56"/>
      <c r="H180" s="56"/>
      <c r="I180" s="56"/>
    </row>
    <row r="181" ht="15.75" customHeight="1">
      <c r="G181" s="56"/>
      <c r="H181" s="56"/>
      <c r="I181" s="56"/>
    </row>
    <row r="182" ht="15.75" customHeight="1">
      <c r="G182" s="56"/>
      <c r="H182" s="56"/>
      <c r="I182" s="56"/>
    </row>
    <row r="183" ht="15.75" customHeight="1">
      <c r="G183" s="56"/>
      <c r="H183" s="56"/>
      <c r="I183" s="56"/>
    </row>
    <row r="184" ht="15.75" customHeight="1">
      <c r="G184" s="56"/>
      <c r="H184" s="56"/>
      <c r="I184" s="56"/>
    </row>
    <row r="185" ht="15.75" customHeight="1">
      <c r="G185" s="56"/>
      <c r="H185" s="56"/>
      <c r="I185" s="56"/>
    </row>
    <row r="186" ht="15.75" customHeight="1">
      <c r="G186" s="56"/>
      <c r="H186" s="56"/>
      <c r="I186" s="56"/>
    </row>
    <row r="187" ht="15.75" customHeight="1">
      <c r="G187" s="56"/>
      <c r="H187" s="56"/>
      <c r="I187" s="56"/>
    </row>
    <row r="188" ht="15.75" customHeight="1">
      <c r="G188" s="56"/>
      <c r="H188" s="56"/>
      <c r="I188" s="56"/>
    </row>
    <row r="189" ht="15.75" customHeight="1">
      <c r="G189" s="56"/>
      <c r="H189" s="56"/>
      <c r="I189" s="56"/>
    </row>
    <row r="190" ht="15.75" customHeight="1">
      <c r="G190" s="56"/>
      <c r="H190" s="56"/>
      <c r="I190" s="56"/>
    </row>
    <row r="191" ht="15.75" customHeight="1">
      <c r="G191" s="56"/>
      <c r="H191" s="56"/>
      <c r="I191" s="56"/>
    </row>
    <row r="192" ht="15.75" customHeight="1">
      <c r="G192" s="56"/>
      <c r="H192" s="56"/>
      <c r="I192" s="56"/>
    </row>
    <row r="193" ht="15.75" customHeight="1">
      <c r="G193" s="56"/>
      <c r="H193" s="56"/>
      <c r="I193" s="56"/>
    </row>
    <row r="194" ht="15.75" customHeight="1">
      <c r="G194" s="56"/>
      <c r="H194" s="56"/>
      <c r="I194" s="56"/>
    </row>
    <row r="195" ht="15.75" customHeight="1">
      <c r="G195" s="56"/>
      <c r="H195" s="56"/>
      <c r="I195" s="56"/>
    </row>
    <row r="196" ht="15.75" customHeight="1">
      <c r="G196" s="56"/>
      <c r="H196" s="56"/>
      <c r="I196" s="56"/>
    </row>
    <row r="197" ht="15.75" customHeight="1">
      <c r="G197" s="56"/>
      <c r="H197" s="56"/>
      <c r="I197" s="56"/>
    </row>
    <row r="198" ht="15.75" customHeight="1">
      <c r="G198" s="56"/>
      <c r="H198" s="56"/>
      <c r="I198" s="56"/>
    </row>
    <row r="199" ht="15.75" customHeight="1">
      <c r="G199" s="56"/>
      <c r="H199" s="56"/>
      <c r="I199" s="56"/>
    </row>
    <row r="200" ht="15.75" customHeight="1">
      <c r="G200" s="56"/>
      <c r="H200" s="56"/>
      <c r="I200" s="56"/>
    </row>
    <row r="201" ht="15.75" customHeight="1">
      <c r="G201" s="56"/>
      <c r="H201" s="56"/>
      <c r="I201" s="56"/>
    </row>
    <row r="202" ht="15.75" customHeight="1">
      <c r="G202" s="56"/>
      <c r="H202" s="56"/>
      <c r="I202" s="56"/>
    </row>
    <row r="203" ht="15.75" customHeight="1">
      <c r="G203" s="56"/>
      <c r="H203" s="56"/>
      <c r="I203" s="56"/>
    </row>
    <row r="204" ht="15.75" customHeight="1">
      <c r="G204" s="56"/>
      <c r="H204" s="56"/>
      <c r="I204" s="56"/>
    </row>
    <row r="205" ht="15.75" customHeight="1">
      <c r="G205" s="56"/>
      <c r="H205" s="56"/>
      <c r="I205" s="56"/>
    </row>
    <row r="206" ht="15.75" customHeight="1">
      <c r="G206" s="56"/>
      <c r="H206" s="56"/>
      <c r="I206" s="56"/>
    </row>
    <row r="207" ht="15.75" customHeight="1">
      <c r="G207" s="56"/>
      <c r="H207" s="56"/>
      <c r="I207" s="56"/>
    </row>
    <row r="208" ht="15.75" customHeight="1">
      <c r="G208" s="56"/>
      <c r="H208" s="56"/>
      <c r="I208" s="56"/>
    </row>
    <row r="209" ht="15.75" customHeight="1">
      <c r="G209" s="56"/>
      <c r="H209" s="56"/>
      <c r="I209" s="56"/>
    </row>
    <row r="210" ht="15.75" customHeight="1">
      <c r="G210" s="56"/>
      <c r="H210" s="56"/>
      <c r="I210" s="56"/>
    </row>
    <row r="211" ht="15.75" customHeight="1">
      <c r="G211" s="56"/>
      <c r="H211" s="56"/>
      <c r="I211" s="56"/>
    </row>
    <row r="212" ht="15.75" customHeight="1">
      <c r="G212" s="56"/>
      <c r="H212" s="56"/>
      <c r="I212" s="56"/>
    </row>
    <row r="213" ht="15.75" customHeight="1">
      <c r="G213" s="56"/>
      <c r="H213" s="56"/>
      <c r="I213" s="56"/>
    </row>
    <row r="214" ht="15.75" customHeight="1">
      <c r="G214" s="56"/>
      <c r="H214" s="56"/>
      <c r="I214" s="56"/>
    </row>
    <row r="215" ht="15.75" customHeight="1">
      <c r="G215" s="56"/>
      <c r="H215" s="56"/>
      <c r="I215" s="56"/>
    </row>
    <row r="216" ht="15.75" customHeight="1">
      <c r="G216" s="56"/>
      <c r="H216" s="56"/>
      <c r="I216" s="56"/>
    </row>
    <row r="217" ht="15.75" customHeight="1">
      <c r="G217" s="56"/>
      <c r="H217" s="56"/>
      <c r="I217" s="56"/>
    </row>
    <row r="218" ht="15.75" customHeight="1">
      <c r="G218" s="56"/>
      <c r="H218" s="56"/>
      <c r="I218" s="56"/>
    </row>
    <row r="219" ht="15.75" customHeight="1">
      <c r="G219" s="56"/>
      <c r="H219" s="56"/>
      <c r="I219" s="56"/>
    </row>
    <row r="220" ht="15.75" customHeight="1">
      <c r="G220" s="56"/>
      <c r="H220" s="56"/>
      <c r="I220" s="56"/>
    </row>
    <row r="221" ht="15.75" customHeight="1">
      <c r="G221" s="56"/>
      <c r="H221" s="56"/>
      <c r="I221" s="56"/>
    </row>
    <row r="222" ht="15.75" customHeight="1">
      <c r="G222" s="56"/>
      <c r="H222" s="56"/>
      <c r="I222" s="56"/>
    </row>
    <row r="223" ht="15.75" customHeight="1">
      <c r="G223" s="56"/>
      <c r="H223" s="56"/>
      <c r="I223" s="56"/>
    </row>
    <row r="224" ht="15.75" customHeight="1">
      <c r="G224" s="56"/>
      <c r="H224" s="56"/>
      <c r="I224" s="56"/>
    </row>
    <row r="225" ht="15.75" customHeight="1">
      <c r="G225" s="56"/>
      <c r="H225" s="56"/>
      <c r="I225" s="56"/>
    </row>
    <row r="226" ht="15.75" customHeight="1">
      <c r="G226" s="56"/>
      <c r="H226" s="56"/>
      <c r="I226" s="56"/>
    </row>
    <row r="227" ht="15.75" customHeight="1">
      <c r="G227" s="56"/>
      <c r="H227" s="56"/>
      <c r="I227" s="56"/>
    </row>
    <row r="228" ht="15.75" customHeight="1">
      <c r="G228" s="56"/>
      <c r="H228" s="56"/>
      <c r="I228" s="56"/>
    </row>
    <row r="229" ht="15.75" customHeight="1">
      <c r="G229" s="56"/>
      <c r="H229" s="56"/>
      <c r="I229" s="56"/>
    </row>
    <row r="230" ht="15.75" customHeight="1">
      <c r="G230" s="56"/>
      <c r="H230" s="56"/>
      <c r="I230" s="56"/>
    </row>
    <row r="231" ht="15.75" customHeight="1">
      <c r="G231" s="56"/>
      <c r="H231" s="56"/>
      <c r="I231" s="56"/>
    </row>
    <row r="232" ht="15.75" customHeight="1">
      <c r="G232" s="56"/>
      <c r="H232" s="56"/>
      <c r="I232" s="56"/>
    </row>
    <row r="233" ht="15.75" customHeight="1">
      <c r="G233" s="56"/>
      <c r="H233" s="56"/>
      <c r="I233" s="56"/>
    </row>
    <row r="234" ht="15.75" customHeight="1">
      <c r="G234" s="56"/>
      <c r="H234" s="56"/>
      <c r="I234" s="56"/>
    </row>
    <row r="235" ht="15.75" customHeight="1">
      <c r="G235" s="56"/>
      <c r="H235" s="56"/>
      <c r="I235" s="56"/>
    </row>
    <row r="236" ht="15.75" customHeight="1">
      <c r="G236" s="56"/>
      <c r="H236" s="56"/>
      <c r="I236" s="56"/>
    </row>
    <row r="237" ht="15.75" customHeight="1">
      <c r="G237" s="56"/>
      <c r="H237" s="56"/>
      <c r="I237" s="56"/>
    </row>
    <row r="238" ht="15.75" customHeight="1">
      <c r="G238" s="56"/>
      <c r="H238" s="56"/>
      <c r="I238" s="56"/>
    </row>
    <row r="239" ht="15.75" customHeight="1">
      <c r="G239" s="56"/>
      <c r="H239" s="56"/>
      <c r="I239" s="56"/>
    </row>
    <row r="240" ht="15.75" customHeight="1">
      <c r="G240" s="56"/>
      <c r="H240" s="56"/>
      <c r="I240" s="56"/>
    </row>
    <row r="241" ht="15.75" customHeight="1">
      <c r="G241" s="56"/>
      <c r="H241" s="56"/>
      <c r="I241" s="56"/>
    </row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4"/>
  <mergeCells count="10">
    <mergeCell ref="A34:M34"/>
    <mergeCell ref="A39:F39"/>
    <mergeCell ref="A41:M41"/>
    <mergeCell ref="A1:M1"/>
    <mergeCell ref="A2:M2"/>
    <mergeCell ref="A5:M5"/>
    <mergeCell ref="A7:M7"/>
    <mergeCell ref="A9:M9"/>
    <mergeCell ref="A14:M14"/>
    <mergeCell ref="A16:M16"/>
  </mergeCells>
  <conditionalFormatting sqref="G5:G1000">
    <cfRule type="cellIs" dxfId="0" priority="1" operator="equal">
      <formula>"DISPONIVEL"</formula>
    </cfRule>
  </conditionalFormatting>
  <conditionalFormatting sqref="G5:G1000">
    <cfRule type="cellIs" dxfId="1" priority="2" operator="equal">
      <formula>"PACKED"</formula>
    </cfRule>
  </conditionalFormatting>
  <conditionalFormatting sqref="G5:G1000">
    <cfRule type="cellIs" dxfId="2" priority="3" operator="equal">
      <formula>"EM_CAMPO"</formula>
    </cfRule>
  </conditionalFormatting>
  <conditionalFormatting sqref="G5:G1000">
    <cfRule type="cellIs" dxfId="3" priority="4" operator="equal">
      <formula>"MANUTENCAO"</formula>
    </cfRule>
  </conditionalFormatting>
  <conditionalFormatting sqref="G5:G1000">
    <cfRule type="cellIs" dxfId="4" priority="5" operator="equal">
      <formula>"EMPRESTADO"</formula>
    </cfRule>
  </conditionalFormatting>
  <conditionalFormatting sqref="G5:G1000">
    <cfRule type="cellIs" dxfId="5" priority="6" operator="equal">
      <formula>"VENDIDO"</formula>
    </cfRule>
  </conditionalFormatting>
  <conditionalFormatting sqref="G5:G1000">
    <cfRule type="cellIs" dxfId="5" priority="7" operator="equal">
      <formula>"BAIXA"</formula>
    </cfRule>
  </conditionalFormatting>
  <conditionalFormatting sqref="H5:H1000">
    <cfRule type="cellIs" dxfId="6" priority="8" operator="equal">
      <formula>"NOVO"</formula>
    </cfRule>
  </conditionalFormatting>
  <conditionalFormatting sqref="H5:H1000">
    <cfRule type="cellIs" dxfId="7" priority="9" operator="equal">
      <formula>"SEMI_NOVO"</formula>
    </cfRule>
  </conditionalFormatting>
  <conditionalFormatting sqref="H5:H1000">
    <cfRule type="cellIs" dxfId="8" priority="10" operator="equal">
      <formula>"USADO"</formula>
    </cfRule>
  </conditionalFormatting>
  <conditionalFormatting sqref="H5:H1000">
    <cfRule type="cellIs" dxfId="9" priority="11" operator="equal">
      <formula>"RECONDICIONADO"</formula>
    </cfRule>
  </conditionalFormatting>
  <conditionalFormatting sqref="I5:I1000">
    <cfRule type="expression" dxfId="10" priority="12">
      <formula>I5="★★★★★"</formula>
    </cfRule>
  </conditionalFormatting>
  <conditionalFormatting sqref="I5:I1000">
    <cfRule type="expression" dxfId="11" priority="13">
      <formula>I5="★★★★☆"</formula>
    </cfRule>
  </conditionalFormatting>
  <conditionalFormatting sqref="I5:I1000">
    <cfRule type="expression" dxfId="12" priority="14">
      <formula>I5="★★★☆☆"</formula>
    </cfRule>
  </conditionalFormatting>
  <conditionalFormatting sqref="I5:I1000">
    <cfRule type="expression" dxfId="13" priority="15">
      <formula>I5="★★☆☆☆"</formula>
    </cfRule>
  </conditionalFormatting>
  <conditionalFormatting sqref="I5:I1000">
    <cfRule type="expression" dxfId="14" priority="16">
      <formula>I5="★☆☆☆☆"</formula>
    </cfRule>
  </conditionalFormatting>
  <conditionalFormatting sqref="L5:L1000">
    <cfRule type="cellIs" dxfId="0" priority="17" operator="lessThan">
      <formula>0.2</formula>
    </cfRule>
  </conditionalFormatting>
  <conditionalFormatting sqref="L5:L1000">
    <cfRule type="cellIs" dxfId="2" priority="18" operator="between">
      <formula>0.2</formula>
      <formula>0.4</formula>
    </cfRule>
  </conditionalFormatting>
  <conditionalFormatting sqref="L5:L1000">
    <cfRule type="cellIs" dxfId="15" priority="19" operator="between">
      <formula>0.4</formula>
      <formula>0.6</formula>
    </cfRule>
  </conditionalFormatting>
  <conditionalFormatting sqref="L5:L1000">
    <cfRule type="cellIs" dxfId="16" priority="20" operator="greaterThanOrEqual">
      <formula>0.6</formula>
    </cfRule>
  </conditionalFormatting>
  <dataValidations>
    <dataValidation type="list" allowBlank="1" sqref="H6 H8 H10:H13 H15 H17:H33 H35:H40 H42:H241">
      <formula1>"NOVO,SEMI_NOVO,USADO,RECONDICIONADO"</formula1>
    </dataValidation>
    <dataValidation type="list" allowBlank="1" sqref="G6 G8 G10:G13 G15 G17:G33 G35:G40 G42:G241">
      <formula1>"DISPONIVEL,PACKED,EM_CAMPO,MANUTENCAO,EMPRESTADO,VENDIDO,BAIXA"</formula1>
    </dataValidation>
    <dataValidation type="list" allowBlank="1" sqref="I6 I8 I10:I13 I15 I17:I33 I35:I40 I42:I241">
      <formula1>"★☆☆☆☆,★★☆☆☆,★★★☆☆,★★★★☆,★★★★★"</formula1>
    </dataValidation>
  </dataValidations>
  <hyperlinks>
    <hyperlink r:id="rId1" ref="A6"/>
    <hyperlink r:id="rId2" ref="A8"/>
    <hyperlink r:id="rId3" ref="A10"/>
    <hyperlink r:id="rId4" ref="A11"/>
    <hyperlink r:id="rId5" ref="A12"/>
    <hyperlink r:id="rId6" ref="A13"/>
    <hyperlink r:id="rId7" ref="A15"/>
    <hyperlink r:id="rId8" ref="A17"/>
    <hyperlink r:id="rId9" ref="A18"/>
    <hyperlink r:id="rId10" ref="A19"/>
    <hyperlink r:id="rId11" ref="A20"/>
    <hyperlink r:id="rId12" ref="A21"/>
    <hyperlink r:id="rId13" ref="A22"/>
    <hyperlink r:id="rId14" ref="A23"/>
    <hyperlink r:id="rId15" ref="A24"/>
    <hyperlink r:id="rId16" ref="A25"/>
    <hyperlink r:id="rId17" ref="A26"/>
    <hyperlink r:id="rId18" ref="A27"/>
    <hyperlink r:id="rId19" ref="A28"/>
    <hyperlink r:id="rId20" ref="A29"/>
    <hyperlink r:id="rId21" ref="A30"/>
    <hyperlink r:id="rId22" ref="A31"/>
    <hyperlink r:id="rId23" ref="A32"/>
    <hyperlink r:id="rId24" ref="A33"/>
    <hyperlink r:id="rId25" ref="A35"/>
    <hyperlink r:id="rId26" ref="A36"/>
    <hyperlink r:id="rId27" ref="A37"/>
  </hyperlinks>
  <printOptions/>
  <pageMargins bottom="1.0" footer="0.0" header="0.0" left="0.75" right="0.75" top="1.0"/>
  <pageSetup orientation="landscape"/>
  <drawing r:id="rId28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B82F6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26" width="8.71"/>
  </cols>
  <sheetData>
    <row r="1" ht="37.5" customHeight="1">
      <c r="A1" s="119" t="s">
        <v>1073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5"/>
    </row>
    <row r="2" ht="21.75" customHeight="1">
      <c r="A2" s="90" t="s">
        <v>1074</v>
      </c>
    </row>
    <row r="3" ht="6.0" customHeight="1"/>
    <row r="4" ht="27.75" customHeight="1">
      <c r="A4" s="91" t="s">
        <v>140</v>
      </c>
      <c r="B4" s="91" t="s">
        <v>123</v>
      </c>
      <c r="C4" s="91" t="s">
        <v>141</v>
      </c>
      <c r="D4" s="91" t="s">
        <v>142</v>
      </c>
      <c r="E4" s="91" t="s">
        <v>143</v>
      </c>
      <c r="F4" s="91" t="s">
        <v>144</v>
      </c>
      <c r="G4" s="91" t="s">
        <v>118</v>
      </c>
      <c r="H4" s="91" t="s">
        <v>145</v>
      </c>
      <c r="I4" s="91" t="s">
        <v>125</v>
      </c>
      <c r="J4" s="91" t="s">
        <v>146</v>
      </c>
      <c r="K4" s="91" t="s">
        <v>91</v>
      </c>
      <c r="L4" s="91" t="s">
        <v>136</v>
      </c>
      <c r="M4" s="91" t="s">
        <v>147</v>
      </c>
    </row>
    <row r="5" ht="24.0" customHeight="1">
      <c r="A5" s="120" t="s">
        <v>1075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5"/>
    </row>
    <row r="6" ht="21.75" customHeight="1">
      <c r="A6" s="121" t="s">
        <v>1076</v>
      </c>
      <c r="B6" s="74" t="s">
        <v>1077</v>
      </c>
      <c r="C6" s="57"/>
      <c r="D6" s="57" t="s">
        <v>1078</v>
      </c>
      <c r="E6" s="57"/>
      <c r="F6" s="57"/>
      <c r="G6" s="57" t="s">
        <v>75</v>
      </c>
      <c r="H6" s="57" t="s">
        <v>153</v>
      </c>
      <c r="I6" s="102" t="s">
        <v>132</v>
      </c>
      <c r="J6" s="59">
        <v>1720.0</v>
      </c>
      <c r="K6" s="95">
        <v>1720.0</v>
      </c>
      <c r="L6" s="96">
        <f>IF(J6&gt;0,(J6-K6)/J6,"")</f>
        <v>0</v>
      </c>
      <c r="M6" s="97"/>
    </row>
    <row r="7" ht="24.0" customHeight="1">
      <c r="A7" s="120" t="s">
        <v>1079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5"/>
    </row>
    <row r="8" ht="21.75" customHeight="1">
      <c r="A8" s="122" t="s">
        <v>1080</v>
      </c>
      <c r="B8" s="78" t="s">
        <v>1081</v>
      </c>
      <c r="C8" s="51"/>
      <c r="D8" s="51" t="s">
        <v>1082</v>
      </c>
      <c r="E8" s="51"/>
      <c r="F8" s="51"/>
      <c r="G8" s="51" t="s">
        <v>75</v>
      </c>
      <c r="H8" s="51" t="s">
        <v>153</v>
      </c>
      <c r="I8" s="102" t="s">
        <v>132</v>
      </c>
      <c r="J8" s="53">
        <v>346.29</v>
      </c>
      <c r="K8" s="95">
        <v>570.62</v>
      </c>
      <c r="L8" s="100">
        <f t="shared" ref="L8:L10" si="1">IF(J8&gt;0,(J8-K8)/J8,"")</f>
        <v>-0.6478096393</v>
      </c>
      <c r="M8" s="101"/>
    </row>
    <row r="9" ht="21.75" customHeight="1">
      <c r="A9" s="121" t="s">
        <v>1083</v>
      </c>
      <c r="B9" s="74" t="s">
        <v>1084</v>
      </c>
      <c r="C9" s="57"/>
      <c r="D9" s="57" t="s">
        <v>1082</v>
      </c>
      <c r="E9" s="57"/>
      <c r="F9" s="57"/>
      <c r="G9" s="57" t="s">
        <v>75</v>
      </c>
      <c r="H9" s="57" t="s">
        <v>153</v>
      </c>
      <c r="I9" s="102" t="s">
        <v>132</v>
      </c>
      <c r="J9" s="59">
        <v>346.29</v>
      </c>
      <c r="K9" s="95">
        <v>570.62</v>
      </c>
      <c r="L9" s="96">
        <f t="shared" si="1"/>
        <v>-0.6478096393</v>
      </c>
      <c r="M9" s="97"/>
    </row>
    <row r="10" ht="21.75" customHeight="1">
      <c r="A10" s="122" t="s">
        <v>1085</v>
      </c>
      <c r="B10" s="78" t="s">
        <v>1086</v>
      </c>
      <c r="C10" s="51"/>
      <c r="D10" s="51" t="s">
        <v>1082</v>
      </c>
      <c r="E10" s="51"/>
      <c r="F10" s="51"/>
      <c r="G10" s="51" t="s">
        <v>75</v>
      </c>
      <c r="H10" s="51" t="s">
        <v>153</v>
      </c>
      <c r="I10" s="102" t="s">
        <v>132</v>
      </c>
      <c r="J10" s="53">
        <v>346.29</v>
      </c>
      <c r="K10" s="95">
        <v>570.62</v>
      </c>
      <c r="L10" s="100">
        <f t="shared" si="1"/>
        <v>-0.6478096393</v>
      </c>
      <c r="M10" s="101"/>
    </row>
    <row r="11" ht="24.0" customHeight="1">
      <c r="A11" s="120" t="s">
        <v>1087</v>
      </c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5"/>
    </row>
    <row r="12" ht="21.75" customHeight="1">
      <c r="A12" s="121" t="s">
        <v>1088</v>
      </c>
      <c r="B12" s="74" t="s">
        <v>1089</v>
      </c>
      <c r="C12" s="57"/>
      <c r="D12" s="57" t="s">
        <v>1090</v>
      </c>
      <c r="E12" s="57"/>
      <c r="F12" s="57"/>
      <c r="G12" s="57" t="s">
        <v>75</v>
      </c>
      <c r="H12" s="57" t="s">
        <v>153</v>
      </c>
      <c r="I12" s="102" t="s">
        <v>132</v>
      </c>
      <c r="J12" s="59">
        <v>1499.9</v>
      </c>
      <c r="K12" s="95">
        <v>981.3</v>
      </c>
      <c r="L12" s="96">
        <f t="shared" ref="L12:L16" si="2">IF(J12&gt;0,(J12-K12)/J12,"")</f>
        <v>0.3457563838</v>
      </c>
      <c r="M12" s="97"/>
    </row>
    <row r="13" ht="21.75" customHeight="1">
      <c r="A13" s="122" t="s">
        <v>1091</v>
      </c>
      <c r="B13" s="78" t="s">
        <v>1092</v>
      </c>
      <c r="C13" s="51"/>
      <c r="D13" s="51" t="s">
        <v>1090</v>
      </c>
      <c r="E13" s="51"/>
      <c r="F13" s="51"/>
      <c r="G13" s="51" t="s">
        <v>75</v>
      </c>
      <c r="H13" s="51" t="s">
        <v>153</v>
      </c>
      <c r="I13" s="102" t="s">
        <v>132</v>
      </c>
      <c r="J13" s="53">
        <v>1499.9</v>
      </c>
      <c r="K13" s="95">
        <v>1499.9</v>
      </c>
      <c r="L13" s="100">
        <f t="shared" si="2"/>
        <v>0</v>
      </c>
      <c r="M13" s="101"/>
    </row>
    <row r="14" ht="21.75" customHeight="1">
      <c r="A14" s="121" t="s">
        <v>1093</v>
      </c>
      <c r="B14" s="74" t="s">
        <v>1092</v>
      </c>
      <c r="C14" s="57"/>
      <c r="D14" s="57" t="s">
        <v>1090</v>
      </c>
      <c r="E14" s="57"/>
      <c r="F14" s="57"/>
      <c r="G14" s="57" t="s">
        <v>75</v>
      </c>
      <c r="H14" s="57" t="s">
        <v>153</v>
      </c>
      <c r="I14" s="102" t="s">
        <v>132</v>
      </c>
      <c r="J14" s="59">
        <v>1499.9</v>
      </c>
      <c r="K14" s="95">
        <v>1499.9</v>
      </c>
      <c r="L14" s="96">
        <f t="shared" si="2"/>
        <v>0</v>
      </c>
      <c r="M14" s="97"/>
    </row>
    <row r="15" ht="21.75" customHeight="1">
      <c r="A15" s="122" t="s">
        <v>1094</v>
      </c>
      <c r="B15" s="78" t="s">
        <v>1092</v>
      </c>
      <c r="C15" s="51"/>
      <c r="D15" s="51" t="s">
        <v>1090</v>
      </c>
      <c r="E15" s="51"/>
      <c r="F15" s="51"/>
      <c r="G15" s="51" t="s">
        <v>75</v>
      </c>
      <c r="H15" s="51" t="s">
        <v>153</v>
      </c>
      <c r="I15" s="102" t="s">
        <v>132</v>
      </c>
      <c r="J15" s="53">
        <v>1499.9</v>
      </c>
      <c r="K15" s="95">
        <v>1499.9</v>
      </c>
      <c r="L15" s="100">
        <f t="shared" si="2"/>
        <v>0</v>
      </c>
      <c r="M15" s="101"/>
    </row>
    <row r="16" ht="21.75" customHeight="1">
      <c r="A16" s="121" t="s">
        <v>1095</v>
      </c>
      <c r="B16" s="74" t="s">
        <v>1092</v>
      </c>
      <c r="C16" s="57"/>
      <c r="D16" s="57" t="s">
        <v>1090</v>
      </c>
      <c r="E16" s="57"/>
      <c r="F16" s="57"/>
      <c r="G16" s="57" t="s">
        <v>75</v>
      </c>
      <c r="H16" s="57" t="s">
        <v>153</v>
      </c>
      <c r="I16" s="102" t="s">
        <v>132</v>
      </c>
      <c r="J16" s="59">
        <v>1499.9</v>
      </c>
      <c r="K16" s="95">
        <v>1499.9</v>
      </c>
      <c r="L16" s="96">
        <f t="shared" si="2"/>
        <v>0</v>
      </c>
      <c r="M16" s="97"/>
    </row>
    <row r="17" ht="24.0" customHeight="1">
      <c r="A17" s="120" t="s">
        <v>1096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5"/>
    </row>
    <row r="18" ht="21.75" customHeight="1">
      <c r="A18" s="122" t="s">
        <v>1097</v>
      </c>
      <c r="B18" s="78"/>
      <c r="C18" s="51"/>
      <c r="D18" s="51" t="s">
        <v>1098</v>
      </c>
      <c r="E18" s="51"/>
      <c r="F18" s="51"/>
      <c r="G18" s="51" t="s">
        <v>75</v>
      </c>
      <c r="H18" s="51" t="s">
        <v>153</v>
      </c>
      <c r="I18" s="102" t="s">
        <v>132</v>
      </c>
      <c r="J18" s="53">
        <v>346.29</v>
      </c>
      <c r="K18" s="95">
        <v>19.0</v>
      </c>
      <c r="L18" s="100">
        <f t="shared" ref="L18:L21" si="3">IF(J18&gt;0,(J18-K18)/J18,"")</f>
        <v>0.9451326923</v>
      </c>
      <c r="M18" s="101"/>
    </row>
    <row r="19" ht="21.75" customHeight="1">
      <c r="A19" s="121" t="s">
        <v>1099</v>
      </c>
      <c r="B19" s="74"/>
      <c r="C19" s="57"/>
      <c r="D19" s="57" t="s">
        <v>1098</v>
      </c>
      <c r="E19" s="57"/>
      <c r="F19" s="57"/>
      <c r="G19" s="57" t="s">
        <v>75</v>
      </c>
      <c r="H19" s="57" t="s">
        <v>153</v>
      </c>
      <c r="I19" s="102" t="s">
        <v>132</v>
      </c>
      <c r="J19" s="59">
        <v>346.29</v>
      </c>
      <c r="K19" s="95">
        <v>19.0</v>
      </c>
      <c r="L19" s="96">
        <f t="shared" si="3"/>
        <v>0.9451326923</v>
      </c>
      <c r="M19" s="97"/>
    </row>
    <row r="20" ht="21.75" customHeight="1">
      <c r="A20" s="122" t="s">
        <v>1100</v>
      </c>
      <c r="B20" s="78"/>
      <c r="C20" s="51"/>
      <c r="D20" s="51" t="s">
        <v>1098</v>
      </c>
      <c r="E20" s="51"/>
      <c r="F20" s="51"/>
      <c r="G20" s="51" t="s">
        <v>75</v>
      </c>
      <c r="H20" s="51" t="s">
        <v>153</v>
      </c>
      <c r="I20" s="102" t="s">
        <v>132</v>
      </c>
      <c r="J20" s="53">
        <v>346.29</v>
      </c>
      <c r="K20" s="95">
        <v>19.0</v>
      </c>
      <c r="L20" s="100">
        <f t="shared" si="3"/>
        <v>0.9451326923</v>
      </c>
      <c r="M20" s="101"/>
    </row>
    <row r="21" ht="21.75" customHeight="1">
      <c r="A21" s="121" t="s">
        <v>1101</v>
      </c>
      <c r="B21" s="74"/>
      <c r="C21" s="57"/>
      <c r="D21" s="57" t="s">
        <v>1098</v>
      </c>
      <c r="E21" s="57"/>
      <c r="F21" s="57"/>
      <c r="G21" s="57" t="s">
        <v>75</v>
      </c>
      <c r="H21" s="57" t="s">
        <v>153</v>
      </c>
      <c r="I21" s="102" t="s">
        <v>132</v>
      </c>
      <c r="J21" s="59">
        <v>346.29</v>
      </c>
      <c r="K21" s="95">
        <v>19.0</v>
      </c>
      <c r="L21" s="96">
        <f t="shared" si="3"/>
        <v>0.9451326923</v>
      </c>
      <c r="M21" s="97"/>
    </row>
    <row r="22" ht="24.0" customHeight="1">
      <c r="A22" s="120" t="s">
        <v>1102</v>
      </c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5"/>
    </row>
    <row r="23" ht="21.75" customHeight="1">
      <c r="A23" s="122" t="s">
        <v>1103</v>
      </c>
      <c r="B23" s="78" t="s">
        <v>1104</v>
      </c>
      <c r="C23" s="51" t="s">
        <v>1104</v>
      </c>
      <c r="D23" s="51" t="s">
        <v>1105</v>
      </c>
      <c r="E23" s="51"/>
      <c r="F23" s="51"/>
      <c r="G23" s="51" t="s">
        <v>75</v>
      </c>
      <c r="H23" s="51" t="s">
        <v>153</v>
      </c>
      <c r="I23" s="102" t="s">
        <v>132</v>
      </c>
      <c r="J23" s="53">
        <v>270.0</v>
      </c>
      <c r="K23" s="95">
        <v>159.95</v>
      </c>
      <c r="L23" s="100">
        <f t="shared" ref="L23:L36" si="4">IF(J23&gt;0,(J23-K23)/J23,"")</f>
        <v>0.4075925926</v>
      </c>
      <c r="M23" s="101"/>
    </row>
    <row r="24" ht="21.75" customHeight="1">
      <c r="A24" s="121" t="s">
        <v>1106</v>
      </c>
      <c r="B24" s="74" t="s">
        <v>1104</v>
      </c>
      <c r="C24" s="57" t="s">
        <v>1104</v>
      </c>
      <c r="D24" s="57" t="s">
        <v>1105</v>
      </c>
      <c r="E24" s="57"/>
      <c r="F24" s="57"/>
      <c r="G24" s="57" t="s">
        <v>75</v>
      </c>
      <c r="H24" s="57" t="s">
        <v>153</v>
      </c>
      <c r="I24" s="102" t="s">
        <v>132</v>
      </c>
      <c r="J24" s="59">
        <v>270.0</v>
      </c>
      <c r="K24" s="95">
        <v>159.95</v>
      </c>
      <c r="L24" s="96">
        <f t="shared" si="4"/>
        <v>0.4075925926</v>
      </c>
      <c r="M24" s="97"/>
    </row>
    <row r="25" ht="21.75" customHeight="1">
      <c r="A25" s="122" t="s">
        <v>1107</v>
      </c>
      <c r="B25" s="78" t="s">
        <v>1104</v>
      </c>
      <c r="C25" s="51" t="s">
        <v>1104</v>
      </c>
      <c r="D25" s="51" t="s">
        <v>1105</v>
      </c>
      <c r="E25" s="51"/>
      <c r="F25" s="51"/>
      <c r="G25" s="51" t="s">
        <v>75</v>
      </c>
      <c r="H25" s="51" t="s">
        <v>153</v>
      </c>
      <c r="I25" s="102" t="s">
        <v>132</v>
      </c>
      <c r="J25" s="53">
        <v>270.0</v>
      </c>
      <c r="K25" s="95">
        <v>159.95</v>
      </c>
      <c r="L25" s="100">
        <f t="shared" si="4"/>
        <v>0.4075925926</v>
      </c>
      <c r="M25" s="101"/>
    </row>
    <row r="26" ht="21.75" customHeight="1">
      <c r="A26" s="121" t="s">
        <v>1108</v>
      </c>
      <c r="B26" s="74" t="s">
        <v>1104</v>
      </c>
      <c r="C26" s="57" t="s">
        <v>1104</v>
      </c>
      <c r="D26" s="57" t="s">
        <v>1105</v>
      </c>
      <c r="E26" s="57"/>
      <c r="F26" s="57"/>
      <c r="G26" s="57" t="s">
        <v>75</v>
      </c>
      <c r="H26" s="57" t="s">
        <v>153</v>
      </c>
      <c r="I26" s="102" t="s">
        <v>132</v>
      </c>
      <c r="J26" s="59">
        <v>270.0</v>
      </c>
      <c r="K26" s="95">
        <v>159.95</v>
      </c>
      <c r="L26" s="96">
        <f t="shared" si="4"/>
        <v>0.4075925926</v>
      </c>
      <c r="M26" s="97"/>
    </row>
    <row r="27" ht="21.75" customHeight="1">
      <c r="A27" s="122" t="s">
        <v>1109</v>
      </c>
      <c r="B27" s="78" t="s">
        <v>1104</v>
      </c>
      <c r="C27" s="51" t="s">
        <v>1104</v>
      </c>
      <c r="D27" s="51" t="s">
        <v>1105</v>
      </c>
      <c r="E27" s="51"/>
      <c r="F27" s="51"/>
      <c r="G27" s="51" t="s">
        <v>75</v>
      </c>
      <c r="H27" s="51" t="s">
        <v>153</v>
      </c>
      <c r="I27" s="102" t="s">
        <v>132</v>
      </c>
      <c r="J27" s="53">
        <v>270.0</v>
      </c>
      <c r="K27" s="95">
        <v>159.95</v>
      </c>
      <c r="L27" s="100">
        <f t="shared" si="4"/>
        <v>0.4075925926</v>
      </c>
      <c r="M27" s="101"/>
    </row>
    <row r="28" ht="21.75" customHeight="1">
      <c r="A28" s="121" t="s">
        <v>1110</v>
      </c>
      <c r="B28" s="74" t="s">
        <v>1104</v>
      </c>
      <c r="C28" s="57" t="s">
        <v>1104</v>
      </c>
      <c r="D28" s="57" t="s">
        <v>1105</v>
      </c>
      <c r="E28" s="57"/>
      <c r="F28" s="57"/>
      <c r="G28" s="57" t="s">
        <v>75</v>
      </c>
      <c r="H28" s="57" t="s">
        <v>153</v>
      </c>
      <c r="I28" s="102" t="s">
        <v>132</v>
      </c>
      <c r="J28" s="59">
        <v>270.0</v>
      </c>
      <c r="K28" s="95">
        <v>159.95</v>
      </c>
      <c r="L28" s="96">
        <f t="shared" si="4"/>
        <v>0.4075925926</v>
      </c>
      <c r="M28" s="97"/>
    </row>
    <row r="29" ht="21.75" customHeight="1">
      <c r="A29" s="122" t="s">
        <v>1111</v>
      </c>
      <c r="B29" s="78" t="s">
        <v>1104</v>
      </c>
      <c r="C29" s="51" t="s">
        <v>1104</v>
      </c>
      <c r="D29" s="51" t="s">
        <v>1105</v>
      </c>
      <c r="E29" s="51"/>
      <c r="F29" s="51"/>
      <c r="G29" s="51" t="s">
        <v>75</v>
      </c>
      <c r="H29" s="51" t="s">
        <v>153</v>
      </c>
      <c r="I29" s="102" t="s">
        <v>132</v>
      </c>
      <c r="J29" s="53">
        <v>270.0</v>
      </c>
      <c r="K29" s="95">
        <v>159.95</v>
      </c>
      <c r="L29" s="100">
        <f t="shared" si="4"/>
        <v>0.4075925926</v>
      </c>
      <c r="M29" s="101"/>
    </row>
    <row r="30" ht="21.75" customHeight="1">
      <c r="A30" s="121" t="s">
        <v>1112</v>
      </c>
      <c r="B30" s="74" t="s">
        <v>1104</v>
      </c>
      <c r="C30" s="57" t="s">
        <v>1104</v>
      </c>
      <c r="D30" s="57" t="s">
        <v>1105</v>
      </c>
      <c r="E30" s="57"/>
      <c r="F30" s="57"/>
      <c r="G30" s="57" t="s">
        <v>75</v>
      </c>
      <c r="H30" s="57" t="s">
        <v>153</v>
      </c>
      <c r="I30" s="102" t="s">
        <v>132</v>
      </c>
      <c r="J30" s="59">
        <v>270.0</v>
      </c>
      <c r="K30" s="95">
        <v>159.95</v>
      </c>
      <c r="L30" s="96">
        <f t="shared" si="4"/>
        <v>0.4075925926</v>
      </c>
      <c r="M30" s="97"/>
    </row>
    <row r="31" ht="21.75" customHeight="1">
      <c r="A31" s="122" t="s">
        <v>1113</v>
      </c>
      <c r="B31" s="78" t="s">
        <v>1104</v>
      </c>
      <c r="C31" s="51" t="s">
        <v>1104</v>
      </c>
      <c r="D31" s="51" t="s">
        <v>1105</v>
      </c>
      <c r="E31" s="51"/>
      <c r="F31" s="51"/>
      <c r="G31" s="51" t="s">
        <v>75</v>
      </c>
      <c r="H31" s="51" t="s">
        <v>153</v>
      </c>
      <c r="I31" s="102" t="s">
        <v>132</v>
      </c>
      <c r="J31" s="53">
        <v>270.0</v>
      </c>
      <c r="K31" s="95">
        <v>159.95</v>
      </c>
      <c r="L31" s="100">
        <f t="shared" si="4"/>
        <v>0.4075925926</v>
      </c>
      <c r="M31" s="101"/>
    </row>
    <row r="32" ht="21.75" customHeight="1">
      <c r="A32" s="121" t="s">
        <v>1114</v>
      </c>
      <c r="B32" s="74" t="s">
        <v>1104</v>
      </c>
      <c r="C32" s="57" t="s">
        <v>1104</v>
      </c>
      <c r="D32" s="57" t="s">
        <v>1105</v>
      </c>
      <c r="E32" s="57"/>
      <c r="F32" s="57"/>
      <c r="G32" s="57" t="s">
        <v>75</v>
      </c>
      <c r="H32" s="57" t="s">
        <v>153</v>
      </c>
      <c r="I32" s="102" t="s">
        <v>132</v>
      </c>
      <c r="J32" s="59">
        <v>270.0</v>
      </c>
      <c r="K32" s="95">
        <v>159.95</v>
      </c>
      <c r="L32" s="96">
        <f t="shared" si="4"/>
        <v>0.4075925926</v>
      </c>
      <c r="M32" s="97"/>
    </row>
    <row r="33" ht="21.75" customHeight="1">
      <c r="A33" s="122" t="s">
        <v>1115</v>
      </c>
      <c r="B33" s="78" t="s">
        <v>1104</v>
      </c>
      <c r="C33" s="51" t="s">
        <v>1104</v>
      </c>
      <c r="D33" s="51" t="s">
        <v>1105</v>
      </c>
      <c r="E33" s="51"/>
      <c r="F33" s="51"/>
      <c r="G33" s="51" t="s">
        <v>75</v>
      </c>
      <c r="H33" s="51" t="s">
        <v>153</v>
      </c>
      <c r="I33" s="102" t="s">
        <v>132</v>
      </c>
      <c r="J33" s="53">
        <v>270.0</v>
      </c>
      <c r="K33" s="95">
        <v>159.95</v>
      </c>
      <c r="L33" s="100">
        <f t="shared" si="4"/>
        <v>0.4075925926</v>
      </c>
      <c r="M33" s="101"/>
    </row>
    <row r="34" ht="21.75" customHeight="1">
      <c r="A34" s="121" t="s">
        <v>1116</v>
      </c>
      <c r="B34" s="74" t="s">
        <v>1104</v>
      </c>
      <c r="C34" s="57" t="s">
        <v>1104</v>
      </c>
      <c r="D34" s="57" t="s">
        <v>1105</v>
      </c>
      <c r="E34" s="57"/>
      <c r="F34" s="57"/>
      <c r="G34" s="57" t="s">
        <v>75</v>
      </c>
      <c r="H34" s="57" t="s">
        <v>153</v>
      </c>
      <c r="I34" s="102" t="s">
        <v>132</v>
      </c>
      <c r="J34" s="59">
        <v>270.0</v>
      </c>
      <c r="K34" s="95">
        <v>159.95</v>
      </c>
      <c r="L34" s="96">
        <f t="shared" si="4"/>
        <v>0.4075925926</v>
      </c>
      <c r="M34" s="97"/>
    </row>
    <row r="35" ht="21.75" customHeight="1">
      <c r="A35" s="122" t="s">
        <v>1117</v>
      </c>
      <c r="B35" s="78" t="s">
        <v>1104</v>
      </c>
      <c r="C35" s="51" t="s">
        <v>1104</v>
      </c>
      <c r="D35" s="51" t="s">
        <v>1105</v>
      </c>
      <c r="E35" s="51"/>
      <c r="F35" s="51"/>
      <c r="G35" s="51" t="s">
        <v>75</v>
      </c>
      <c r="H35" s="51" t="s">
        <v>153</v>
      </c>
      <c r="I35" s="102" t="s">
        <v>132</v>
      </c>
      <c r="J35" s="53">
        <v>270.0</v>
      </c>
      <c r="K35" s="95">
        <v>159.95</v>
      </c>
      <c r="L35" s="100">
        <f t="shared" si="4"/>
        <v>0.4075925926</v>
      </c>
      <c r="M35" s="101"/>
    </row>
    <row r="36" ht="21.75" customHeight="1">
      <c r="A36" s="121" t="s">
        <v>1118</v>
      </c>
      <c r="B36" s="74" t="s">
        <v>1104</v>
      </c>
      <c r="C36" s="57" t="s">
        <v>1104</v>
      </c>
      <c r="D36" s="57" t="s">
        <v>1105</v>
      </c>
      <c r="E36" s="57"/>
      <c r="F36" s="57"/>
      <c r="G36" s="57" t="s">
        <v>75</v>
      </c>
      <c r="H36" s="57" t="s">
        <v>153</v>
      </c>
      <c r="I36" s="102" t="s">
        <v>132</v>
      </c>
      <c r="J36" s="59">
        <v>270.0</v>
      </c>
      <c r="K36" s="95">
        <v>159.95</v>
      </c>
      <c r="L36" s="96">
        <f t="shared" si="4"/>
        <v>0.4075925926</v>
      </c>
      <c r="M36" s="97"/>
    </row>
    <row r="37" ht="24.0" customHeight="1">
      <c r="A37" s="120" t="s">
        <v>1119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5"/>
    </row>
    <row r="38" ht="21.75" customHeight="1">
      <c r="A38" s="122" t="s">
        <v>1120</v>
      </c>
      <c r="B38" s="78" t="s">
        <v>1121</v>
      </c>
      <c r="C38" s="51" t="s">
        <v>1121</v>
      </c>
      <c r="D38" s="51" t="s">
        <v>1122</v>
      </c>
      <c r="E38" s="51"/>
      <c r="F38" s="51"/>
      <c r="G38" s="51" t="s">
        <v>75</v>
      </c>
      <c r="H38" s="51" t="s">
        <v>153</v>
      </c>
      <c r="I38" s="102" t="s">
        <v>132</v>
      </c>
      <c r="J38" s="53">
        <v>137.9</v>
      </c>
      <c r="K38" s="95">
        <v>137.9</v>
      </c>
      <c r="L38" s="100">
        <f t="shared" ref="L38:L53" si="5">IF(J38&gt;0,(J38-K38)/J38,"")</f>
        <v>0</v>
      </c>
      <c r="M38" s="101"/>
    </row>
    <row r="39" ht="21.75" customHeight="1">
      <c r="A39" s="121" t="s">
        <v>1123</v>
      </c>
      <c r="B39" s="74" t="s">
        <v>1124</v>
      </c>
      <c r="C39" s="57" t="s">
        <v>1124</v>
      </c>
      <c r="D39" s="57" t="s">
        <v>1122</v>
      </c>
      <c r="E39" s="57"/>
      <c r="F39" s="57"/>
      <c r="G39" s="57" t="s">
        <v>75</v>
      </c>
      <c r="H39" s="57" t="s">
        <v>153</v>
      </c>
      <c r="I39" s="102" t="s">
        <v>132</v>
      </c>
      <c r="J39" s="59">
        <v>137.9</v>
      </c>
      <c r="K39" s="95">
        <v>137.9</v>
      </c>
      <c r="L39" s="96">
        <f t="shared" si="5"/>
        <v>0</v>
      </c>
      <c r="M39" s="97"/>
    </row>
    <row r="40" ht="21.75" customHeight="1">
      <c r="A40" s="122" t="s">
        <v>1125</v>
      </c>
      <c r="B40" s="78" t="s">
        <v>1126</v>
      </c>
      <c r="C40" s="51" t="s">
        <v>1126</v>
      </c>
      <c r="D40" s="51" t="s">
        <v>1122</v>
      </c>
      <c r="E40" s="51"/>
      <c r="F40" s="51"/>
      <c r="G40" s="51" t="s">
        <v>75</v>
      </c>
      <c r="H40" s="51" t="s">
        <v>153</v>
      </c>
      <c r="I40" s="102" t="s">
        <v>132</v>
      </c>
      <c r="J40" s="53">
        <v>137.9</v>
      </c>
      <c r="K40" s="95">
        <v>137.9</v>
      </c>
      <c r="L40" s="100">
        <f t="shared" si="5"/>
        <v>0</v>
      </c>
      <c r="M40" s="101"/>
    </row>
    <row r="41" ht="21.75" customHeight="1">
      <c r="A41" s="121" t="s">
        <v>1127</v>
      </c>
      <c r="B41" s="74" t="s">
        <v>1128</v>
      </c>
      <c r="C41" s="57" t="s">
        <v>1128</v>
      </c>
      <c r="D41" s="57" t="s">
        <v>1122</v>
      </c>
      <c r="E41" s="57"/>
      <c r="F41" s="57"/>
      <c r="G41" s="57" t="s">
        <v>75</v>
      </c>
      <c r="H41" s="57" t="s">
        <v>153</v>
      </c>
      <c r="I41" s="102" t="s">
        <v>132</v>
      </c>
      <c r="J41" s="59">
        <v>137.9</v>
      </c>
      <c r="K41" s="95">
        <v>137.9</v>
      </c>
      <c r="L41" s="96">
        <f t="shared" si="5"/>
        <v>0</v>
      </c>
      <c r="M41" s="97"/>
    </row>
    <row r="42" ht="21.75" customHeight="1">
      <c r="A42" s="122" t="s">
        <v>1129</v>
      </c>
      <c r="B42" s="78" t="s">
        <v>1128</v>
      </c>
      <c r="C42" s="51" t="s">
        <v>1128</v>
      </c>
      <c r="D42" s="51" t="s">
        <v>1122</v>
      </c>
      <c r="E42" s="51"/>
      <c r="F42" s="51"/>
      <c r="G42" s="51" t="s">
        <v>75</v>
      </c>
      <c r="H42" s="51" t="s">
        <v>153</v>
      </c>
      <c r="I42" s="102" t="s">
        <v>132</v>
      </c>
      <c r="J42" s="53">
        <v>137.9</v>
      </c>
      <c r="K42" s="95">
        <v>137.9</v>
      </c>
      <c r="L42" s="100">
        <f t="shared" si="5"/>
        <v>0</v>
      </c>
      <c r="M42" s="101"/>
    </row>
    <row r="43" ht="21.75" customHeight="1">
      <c r="A43" s="121" t="s">
        <v>1130</v>
      </c>
      <c r="B43" s="74" t="s">
        <v>1128</v>
      </c>
      <c r="C43" s="57" t="s">
        <v>1128</v>
      </c>
      <c r="D43" s="57" t="s">
        <v>1122</v>
      </c>
      <c r="E43" s="57"/>
      <c r="F43" s="57"/>
      <c r="G43" s="57" t="s">
        <v>75</v>
      </c>
      <c r="H43" s="57" t="s">
        <v>153</v>
      </c>
      <c r="I43" s="102" t="s">
        <v>132</v>
      </c>
      <c r="J43" s="59">
        <v>137.9</v>
      </c>
      <c r="K43" s="95">
        <v>137.9</v>
      </c>
      <c r="L43" s="96">
        <f t="shared" si="5"/>
        <v>0</v>
      </c>
      <c r="M43" s="97"/>
    </row>
    <row r="44" ht="21.75" customHeight="1">
      <c r="A44" s="122" t="s">
        <v>1131</v>
      </c>
      <c r="B44" s="78" t="s">
        <v>1128</v>
      </c>
      <c r="C44" s="51" t="s">
        <v>1128</v>
      </c>
      <c r="D44" s="51" t="s">
        <v>1122</v>
      </c>
      <c r="E44" s="51"/>
      <c r="F44" s="51"/>
      <c r="G44" s="51" t="s">
        <v>75</v>
      </c>
      <c r="H44" s="51" t="s">
        <v>153</v>
      </c>
      <c r="I44" s="102" t="s">
        <v>132</v>
      </c>
      <c r="J44" s="53">
        <v>137.9</v>
      </c>
      <c r="K44" s="95">
        <v>137.9</v>
      </c>
      <c r="L44" s="100">
        <f t="shared" si="5"/>
        <v>0</v>
      </c>
      <c r="M44" s="101"/>
    </row>
    <row r="45" ht="21.75" customHeight="1">
      <c r="A45" s="121" t="s">
        <v>1132</v>
      </c>
      <c r="B45" s="74" t="s">
        <v>1128</v>
      </c>
      <c r="C45" s="57" t="s">
        <v>1128</v>
      </c>
      <c r="D45" s="57" t="s">
        <v>1122</v>
      </c>
      <c r="E45" s="57"/>
      <c r="F45" s="57"/>
      <c r="G45" s="57" t="s">
        <v>75</v>
      </c>
      <c r="H45" s="57" t="s">
        <v>153</v>
      </c>
      <c r="I45" s="102" t="s">
        <v>132</v>
      </c>
      <c r="J45" s="59">
        <v>137.9</v>
      </c>
      <c r="K45" s="95">
        <v>137.9</v>
      </c>
      <c r="L45" s="96">
        <f t="shared" si="5"/>
        <v>0</v>
      </c>
      <c r="M45" s="97"/>
    </row>
    <row r="46" ht="21.75" customHeight="1">
      <c r="A46" s="122" t="s">
        <v>1133</v>
      </c>
      <c r="B46" s="78" t="s">
        <v>1128</v>
      </c>
      <c r="C46" s="51" t="s">
        <v>1128</v>
      </c>
      <c r="D46" s="51" t="s">
        <v>1122</v>
      </c>
      <c r="E46" s="51"/>
      <c r="F46" s="51"/>
      <c r="G46" s="51" t="s">
        <v>75</v>
      </c>
      <c r="H46" s="51" t="s">
        <v>153</v>
      </c>
      <c r="I46" s="102" t="s">
        <v>132</v>
      </c>
      <c r="J46" s="53">
        <v>137.9</v>
      </c>
      <c r="K46" s="95">
        <v>137.9</v>
      </c>
      <c r="L46" s="100">
        <f t="shared" si="5"/>
        <v>0</v>
      </c>
      <c r="M46" s="101"/>
    </row>
    <row r="47" ht="21.75" customHeight="1">
      <c r="A47" s="121" t="s">
        <v>1134</v>
      </c>
      <c r="B47" s="74" t="s">
        <v>1128</v>
      </c>
      <c r="C47" s="57" t="s">
        <v>1128</v>
      </c>
      <c r="D47" s="57" t="s">
        <v>1122</v>
      </c>
      <c r="E47" s="57"/>
      <c r="F47" s="57"/>
      <c r="G47" s="57" t="s">
        <v>75</v>
      </c>
      <c r="H47" s="57" t="s">
        <v>153</v>
      </c>
      <c r="I47" s="102" t="s">
        <v>132</v>
      </c>
      <c r="J47" s="59">
        <v>137.9</v>
      </c>
      <c r="K47" s="95">
        <v>137.9</v>
      </c>
      <c r="L47" s="96">
        <f t="shared" si="5"/>
        <v>0</v>
      </c>
      <c r="M47" s="97"/>
    </row>
    <row r="48" ht="21.75" customHeight="1">
      <c r="A48" s="122" t="s">
        <v>1135</v>
      </c>
      <c r="B48" s="78" t="s">
        <v>1128</v>
      </c>
      <c r="C48" s="51" t="s">
        <v>1128</v>
      </c>
      <c r="D48" s="51" t="s">
        <v>1122</v>
      </c>
      <c r="E48" s="51"/>
      <c r="F48" s="51"/>
      <c r="G48" s="51" t="s">
        <v>75</v>
      </c>
      <c r="H48" s="51" t="s">
        <v>153</v>
      </c>
      <c r="I48" s="102" t="s">
        <v>132</v>
      </c>
      <c r="J48" s="53">
        <v>137.9</v>
      </c>
      <c r="K48" s="95">
        <v>137.9</v>
      </c>
      <c r="L48" s="100">
        <f t="shared" si="5"/>
        <v>0</v>
      </c>
      <c r="M48" s="101"/>
    </row>
    <row r="49" ht="21.75" customHeight="1">
      <c r="A49" s="121" t="s">
        <v>1136</v>
      </c>
      <c r="B49" s="74" t="s">
        <v>1128</v>
      </c>
      <c r="C49" s="57" t="s">
        <v>1128</v>
      </c>
      <c r="D49" s="57" t="s">
        <v>1122</v>
      </c>
      <c r="E49" s="57"/>
      <c r="F49" s="57"/>
      <c r="G49" s="57" t="s">
        <v>75</v>
      </c>
      <c r="H49" s="57" t="s">
        <v>153</v>
      </c>
      <c r="I49" s="102" t="s">
        <v>132</v>
      </c>
      <c r="J49" s="59">
        <v>137.9</v>
      </c>
      <c r="K49" s="95">
        <v>137.9</v>
      </c>
      <c r="L49" s="96">
        <f t="shared" si="5"/>
        <v>0</v>
      </c>
      <c r="M49" s="97"/>
    </row>
    <row r="50" ht="21.75" customHeight="1">
      <c r="A50" s="122" t="s">
        <v>1137</v>
      </c>
      <c r="B50" s="78" t="s">
        <v>1128</v>
      </c>
      <c r="C50" s="51" t="s">
        <v>1128</v>
      </c>
      <c r="D50" s="51" t="s">
        <v>1122</v>
      </c>
      <c r="E50" s="51"/>
      <c r="F50" s="51"/>
      <c r="G50" s="51" t="s">
        <v>75</v>
      </c>
      <c r="H50" s="51" t="s">
        <v>153</v>
      </c>
      <c r="I50" s="102" t="s">
        <v>132</v>
      </c>
      <c r="J50" s="53">
        <v>137.9</v>
      </c>
      <c r="K50" s="95">
        <v>137.9</v>
      </c>
      <c r="L50" s="100">
        <f t="shared" si="5"/>
        <v>0</v>
      </c>
      <c r="M50" s="101"/>
    </row>
    <row r="51" ht="21.75" customHeight="1">
      <c r="A51" s="121" t="s">
        <v>1138</v>
      </c>
      <c r="B51" s="74" t="s">
        <v>1128</v>
      </c>
      <c r="C51" s="57" t="s">
        <v>1128</v>
      </c>
      <c r="D51" s="57" t="s">
        <v>1122</v>
      </c>
      <c r="E51" s="57"/>
      <c r="F51" s="57"/>
      <c r="G51" s="57" t="s">
        <v>75</v>
      </c>
      <c r="H51" s="57" t="s">
        <v>153</v>
      </c>
      <c r="I51" s="102" t="s">
        <v>132</v>
      </c>
      <c r="J51" s="59">
        <v>137.9</v>
      </c>
      <c r="K51" s="95">
        <v>137.9</v>
      </c>
      <c r="L51" s="96">
        <f t="shared" si="5"/>
        <v>0</v>
      </c>
      <c r="M51" s="97"/>
    </row>
    <row r="52" ht="21.75" customHeight="1">
      <c r="A52" s="122" t="s">
        <v>1139</v>
      </c>
      <c r="B52" s="78" t="s">
        <v>1140</v>
      </c>
      <c r="C52" s="51" t="s">
        <v>1140</v>
      </c>
      <c r="D52" s="51" t="s">
        <v>1122</v>
      </c>
      <c r="E52" s="51"/>
      <c r="F52" s="51"/>
      <c r="G52" s="51" t="s">
        <v>75</v>
      </c>
      <c r="H52" s="51" t="s">
        <v>153</v>
      </c>
      <c r="I52" s="102" t="s">
        <v>132</v>
      </c>
      <c r="J52" s="53">
        <v>137.9</v>
      </c>
      <c r="K52" s="95">
        <v>137.9</v>
      </c>
      <c r="L52" s="100">
        <f t="shared" si="5"/>
        <v>0</v>
      </c>
      <c r="M52" s="101"/>
    </row>
    <row r="53" ht="21.75" customHeight="1">
      <c r="A53" s="121" t="s">
        <v>1141</v>
      </c>
      <c r="B53" s="74" t="s">
        <v>1140</v>
      </c>
      <c r="C53" s="57" t="s">
        <v>1140</v>
      </c>
      <c r="D53" s="57" t="s">
        <v>1122</v>
      </c>
      <c r="E53" s="57"/>
      <c r="F53" s="57"/>
      <c r="G53" s="57" t="s">
        <v>75</v>
      </c>
      <c r="H53" s="57" t="s">
        <v>153</v>
      </c>
      <c r="I53" s="102" t="s">
        <v>132</v>
      </c>
      <c r="J53" s="59">
        <v>137.9</v>
      </c>
      <c r="K53" s="95">
        <v>137.9</v>
      </c>
      <c r="L53" s="96">
        <f t="shared" si="5"/>
        <v>0</v>
      </c>
      <c r="M53" s="97"/>
    </row>
    <row r="54" ht="15.75" customHeight="1">
      <c r="G54" s="56"/>
      <c r="H54" s="56"/>
      <c r="I54" s="56"/>
    </row>
    <row r="55" ht="25.5" customHeight="1">
      <c r="A55" s="103" t="s">
        <v>1142</v>
      </c>
      <c r="B55" s="104"/>
      <c r="C55" s="104"/>
      <c r="D55" s="104"/>
      <c r="E55" s="104"/>
      <c r="F55" s="105"/>
      <c r="G55" s="106"/>
      <c r="H55" s="106"/>
      <c r="I55" s="106"/>
      <c r="J55" s="107">
        <v>57098.0</v>
      </c>
      <c r="K55" s="106"/>
      <c r="L55" s="106"/>
      <c r="M55" s="106"/>
    </row>
    <row r="56" ht="15.75" customHeight="1">
      <c r="G56" s="56"/>
      <c r="H56" s="56"/>
      <c r="I56" s="56"/>
    </row>
    <row r="57" ht="18.0" customHeight="1">
      <c r="A57" s="32" t="s">
        <v>72</v>
      </c>
    </row>
    <row r="58" ht="15.75" customHeight="1">
      <c r="G58" s="56"/>
      <c r="H58" s="56"/>
      <c r="I58" s="56"/>
    </row>
    <row r="59" ht="15.75" customHeight="1">
      <c r="G59" s="56"/>
      <c r="H59" s="56"/>
      <c r="I59" s="56"/>
    </row>
    <row r="60" ht="15.75" customHeight="1">
      <c r="G60" s="56"/>
      <c r="H60" s="56"/>
      <c r="I60" s="56"/>
    </row>
    <row r="61" ht="15.75" customHeight="1">
      <c r="G61" s="56"/>
      <c r="H61" s="56"/>
      <c r="I61" s="56"/>
    </row>
    <row r="62" ht="15.75" customHeight="1">
      <c r="G62" s="56"/>
      <c r="H62" s="56"/>
      <c r="I62" s="56"/>
    </row>
    <row r="63" ht="15.75" customHeight="1">
      <c r="G63" s="56"/>
      <c r="H63" s="56"/>
      <c r="I63" s="56"/>
    </row>
    <row r="64" ht="15.75" customHeight="1">
      <c r="G64" s="56"/>
      <c r="H64" s="56"/>
      <c r="I64" s="56"/>
    </row>
    <row r="65" ht="15.75" customHeight="1">
      <c r="G65" s="56"/>
      <c r="H65" s="56"/>
      <c r="I65" s="56"/>
    </row>
    <row r="66" ht="15.75" customHeight="1">
      <c r="G66" s="56"/>
      <c r="H66" s="56"/>
      <c r="I66" s="56"/>
    </row>
    <row r="67" ht="15.75" customHeight="1">
      <c r="G67" s="56"/>
      <c r="H67" s="56"/>
      <c r="I67" s="56"/>
    </row>
    <row r="68" ht="15.75" customHeight="1">
      <c r="G68" s="56"/>
      <c r="H68" s="56"/>
      <c r="I68" s="56"/>
    </row>
    <row r="69" ht="15.75" customHeight="1">
      <c r="G69" s="56"/>
      <c r="H69" s="56"/>
      <c r="I69" s="56"/>
    </row>
    <row r="70" ht="15.75" customHeight="1">
      <c r="G70" s="56"/>
      <c r="H70" s="56"/>
      <c r="I70" s="56"/>
    </row>
    <row r="71" ht="15.75" customHeight="1">
      <c r="G71" s="56"/>
      <c r="H71" s="56"/>
      <c r="I71" s="56"/>
    </row>
    <row r="72" ht="15.75" customHeight="1">
      <c r="G72" s="56"/>
      <c r="H72" s="56"/>
      <c r="I72" s="56"/>
    </row>
    <row r="73" ht="15.75" customHeight="1">
      <c r="G73" s="56"/>
      <c r="H73" s="56"/>
      <c r="I73" s="56"/>
    </row>
    <row r="74" ht="15.75" customHeight="1">
      <c r="G74" s="56"/>
      <c r="H74" s="56"/>
      <c r="I74" s="56"/>
    </row>
    <row r="75" ht="15.75" customHeight="1">
      <c r="G75" s="56"/>
      <c r="H75" s="56"/>
      <c r="I75" s="56"/>
    </row>
    <row r="76" ht="15.75" customHeight="1">
      <c r="G76" s="56"/>
      <c r="H76" s="56"/>
      <c r="I76" s="56"/>
    </row>
    <row r="77" ht="15.75" customHeight="1">
      <c r="G77" s="56"/>
      <c r="H77" s="56"/>
      <c r="I77" s="56"/>
    </row>
    <row r="78" ht="15.75" customHeight="1">
      <c r="G78" s="56"/>
      <c r="H78" s="56"/>
      <c r="I78" s="56"/>
    </row>
    <row r="79" ht="15.75" customHeight="1">
      <c r="G79" s="56"/>
      <c r="H79" s="56"/>
      <c r="I79" s="56"/>
    </row>
    <row r="80" ht="15.75" customHeight="1">
      <c r="G80" s="56"/>
      <c r="H80" s="56"/>
      <c r="I80" s="56"/>
    </row>
    <row r="81" ht="15.75" customHeight="1">
      <c r="G81" s="56"/>
      <c r="H81" s="56"/>
      <c r="I81" s="56"/>
    </row>
    <row r="82" ht="15.75" customHeight="1">
      <c r="G82" s="56"/>
      <c r="H82" s="56"/>
      <c r="I82" s="56"/>
    </row>
    <row r="83" ht="15.75" customHeight="1">
      <c r="G83" s="56"/>
      <c r="H83" s="56"/>
      <c r="I83" s="56"/>
    </row>
    <row r="84" ht="15.75" customHeight="1">
      <c r="G84" s="56"/>
      <c r="H84" s="56"/>
      <c r="I84" s="56"/>
    </row>
    <row r="85" ht="15.75" customHeight="1">
      <c r="G85" s="56"/>
      <c r="H85" s="56"/>
      <c r="I85" s="56"/>
    </row>
    <row r="86" ht="15.75" customHeight="1">
      <c r="G86" s="56"/>
      <c r="H86" s="56"/>
      <c r="I86" s="56"/>
    </row>
    <row r="87" ht="15.75" customHeight="1">
      <c r="G87" s="56"/>
      <c r="H87" s="56"/>
      <c r="I87" s="56"/>
    </row>
    <row r="88" ht="15.75" customHeight="1">
      <c r="G88" s="56"/>
      <c r="H88" s="56"/>
      <c r="I88" s="56"/>
    </row>
    <row r="89" ht="15.75" customHeight="1">
      <c r="G89" s="56"/>
      <c r="H89" s="56"/>
      <c r="I89" s="56"/>
    </row>
    <row r="90" ht="15.75" customHeight="1">
      <c r="G90" s="56"/>
      <c r="H90" s="56"/>
      <c r="I90" s="56"/>
    </row>
    <row r="91" ht="15.75" customHeight="1">
      <c r="G91" s="56"/>
      <c r="H91" s="56"/>
      <c r="I91" s="56"/>
    </row>
    <row r="92" ht="15.75" customHeight="1">
      <c r="G92" s="56"/>
      <c r="H92" s="56"/>
      <c r="I92" s="56"/>
    </row>
    <row r="93" ht="15.75" customHeight="1">
      <c r="G93" s="56"/>
      <c r="H93" s="56"/>
      <c r="I93" s="56"/>
    </row>
    <row r="94" ht="15.75" customHeight="1">
      <c r="G94" s="56"/>
      <c r="H94" s="56"/>
      <c r="I94" s="56"/>
    </row>
    <row r="95" ht="15.75" customHeight="1">
      <c r="G95" s="56"/>
      <c r="H95" s="56"/>
      <c r="I95" s="56"/>
    </row>
    <row r="96" ht="15.75" customHeight="1">
      <c r="G96" s="56"/>
      <c r="H96" s="56"/>
      <c r="I96" s="56"/>
    </row>
    <row r="97" ht="15.75" customHeight="1">
      <c r="G97" s="56"/>
      <c r="H97" s="56"/>
      <c r="I97" s="56"/>
    </row>
    <row r="98" ht="15.75" customHeight="1">
      <c r="G98" s="56"/>
      <c r="H98" s="56"/>
      <c r="I98" s="56"/>
    </row>
    <row r="99" ht="15.75" customHeight="1">
      <c r="G99" s="56"/>
      <c r="H99" s="56"/>
      <c r="I99" s="56"/>
    </row>
    <row r="100" ht="15.75" customHeight="1">
      <c r="G100" s="56"/>
      <c r="H100" s="56"/>
      <c r="I100" s="56"/>
    </row>
    <row r="101" ht="15.75" customHeight="1">
      <c r="G101" s="56"/>
      <c r="H101" s="56"/>
      <c r="I101" s="56"/>
    </row>
    <row r="102" ht="15.75" customHeight="1">
      <c r="G102" s="56"/>
      <c r="H102" s="56"/>
      <c r="I102" s="56"/>
    </row>
    <row r="103" ht="15.75" customHeight="1">
      <c r="G103" s="56"/>
      <c r="H103" s="56"/>
      <c r="I103" s="56"/>
    </row>
    <row r="104" ht="15.75" customHeight="1">
      <c r="G104" s="56"/>
      <c r="H104" s="56"/>
      <c r="I104" s="56"/>
    </row>
    <row r="105" ht="15.75" customHeight="1">
      <c r="G105" s="56"/>
      <c r="H105" s="56"/>
      <c r="I105" s="56"/>
    </row>
    <row r="106" ht="15.75" customHeight="1">
      <c r="G106" s="56"/>
      <c r="H106" s="56"/>
      <c r="I106" s="56"/>
    </row>
    <row r="107" ht="15.75" customHeight="1">
      <c r="G107" s="56"/>
      <c r="H107" s="56"/>
      <c r="I107" s="56"/>
    </row>
    <row r="108" ht="15.75" customHeight="1">
      <c r="G108" s="56"/>
      <c r="H108" s="56"/>
      <c r="I108" s="56"/>
    </row>
    <row r="109" ht="15.75" customHeight="1">
      <c r="G109" s="56"/>
      <c r="H109" s="56"/>
      <c r="I109" s="56"/>
    </row>
    <row r="110" ht="15.75" customHeight="1">
      <c r="G110" s="56"/>
      <c r="H110" s="56"/>
      <c r="I110" s="56"/>
    </row>
    <row r="111" ht="15.75" customHeight="1">
      <c r="G111" s="56"/>
      <c r="H111" s="56"/>
      <c r="I111" s="56"/>
    </row>
    <row r="112" ht="15.75" customHeight="1">
      <c r="G112" s="56"/>
      <c r="H112" s="56"/>
      <c r="I112" s="56"/>
    </row>
    <row r="113" ht="15.75" customHeight="1">
      <c r="G113" s="56"/>
      <c r="H113" s="56"/>
      <c r="I113" s="56"/>
    </row>
    <row r="114" ht="15.75" customHeight="1">
      <c r="G114" s="56"/>
      <c r="H114" s="56"/>
      <c r="I114" s="56"/>
    </row>
    <row r="115" ht="15.75" customHeight="1">
      <c r="G115" s="56"/>
      <c r="H115" s="56"/>
      <c r="I115" s="56"/>
    </row>
    <row r="116" ht="15.75" customHeight="1">
      <c r="G116" s="56"/>
      <c r="H116" s="56"/>
      <c r="I116" s="56"/>
    </row>
    <row r="117" ht="15.75" customHeight="1">
      <c r="G117" s="56"/>
      <c r="H117" s="56"/>
      <c r="I117" s="56"/>
    </row>
    <row r="118" ht="15.75" customHeight="1">
      <c r="G118" s="56"/>
      <c r="H118" s="56"/>
      <c r="I118" s="56"/>
    </row>
    <row r="119" ht="15.75" customHeight="1">
      <c r="G119" s="56"/>
      <c r="H119" s="56"/>
      <c r="I119" s="56"/>
    </row>
    <row r="120" ht="15.75" customHeight="1">
      <c r="G120" s="56"/>
      <c r="H120" s="56"/>
      <c r="I120" s="56"/>
    </row>
    <row r="121" ht="15.75" customHeight="1">
      <c r="G121" s="56"/>
      <c r="H121" s="56"/>
      <c r="I121" s="56"/>
    </row>
    <row r="122" ht="15.75" customHeight="1">
      <c r="G122" s="56"/>
      <c r="H122" s="56"/>
      <c r="I122" s="56"/>
    </row>
    <row r="123" ht="15.75" customHeight="1">
      <c r="G123" s="56"/>
      <c r="H123" s="56"/>
      <c r="I123" s="56"/>
    </row>
    <row r="124" ht="15.75" customHeight="1">
      <c r="G124" s="56"/>
      <c r="H124" s="56"/>
      <c r="I124" s="56"/>
    </row>
    <row r="125" ht="15.75" customHeight="1">
      <c r="G125" s="56"/>
      <c r="H125" s="56"/>
      <c r="I125" s="56"/>
    </row>
    <row r="126" ht="15.75" customHeight="1">
      <c r="G126" s="56"/>
      <c r="H126" s="56"/>
      <c r="I126" s="56"/>
    </row>
    <row r="127" ht="15.75" customHeight="1">
      <c r="G127" s="56"/>
      <c r="H127" s="56"/>
      <c r="I127" s="56"/>
    </row>
    <row r="128" ht="15.75" customHeight="1">
      <c r="G128" s="56"/>
      <c r="H128" s="56"/>
      <c r="I128" s="56"/>
    </row>
    <row r="129" ht="15.75" customHeight="1">
      <c r="G129" s="56"/>
      <c r="H129" s="56"/>
      <c r="I129" s="56"/>
    </row>
    <row r="130" ht="15.75" customHeight="1">
      <c r="G130" s="56"/>
      <c r="H130" s="56"/>
      <c r="I130" s="56"/>
    </row>
    <row r="131" ht="15.75" customHeight="1">
      <c r="G131" s="56"/>
      <c r="H131" s="56"/>
      <c r="I131" s="56"/>
    </row>
    <row r="132" ht="15.75" customHeight="1">
      <c r="G132" s="56"/>
      <c r="H132" s="56"/>
      <c r="I132" s="56"/>
    </row>
    <row r="133" ht="15.75" customHeight="1">
      <c r="G133" s="56"/>
      <c r="H133" s="56"/>
      <c r="I133" s="56"/>
    </row>
    <row r="134" ht="15.75" customHeight="1">
      <c r="G134" s="56"/>
      <c r="H134" s="56"/>
      <c r="I134" s="56"/>
    </row>
    <row r="135" ht="15.75" customHeight="1">
      <c r="G135" s="56"/>
      <c r="H135" s="56"/>
      <c r="I135" s="56"/>
    </row>
    <row r="136" ht="15.75" customHeight="1">
      <c r="G136" s="56"/>
      <c r="H136" s="56"/>
      <c r="I136" s="56"/>
    </row>
    <row r="137" ht="15.75" customHeight="1">
      <c r="G137" s="56"/>
      <c r="H137" s="56"/>
      <c r="I137" s="56"/>
    </row>
    <row r="138" ht="15.75" customHeight="1">
      <c r="G138" s="56"/>
      <c r="H138" s="56"/>
      <c r="I138" s="56"/>
    </row>
    <row r="139" ht="15.75" customHeight="1">
      <c r="G139" s="56"/>
      <c r="H139" s="56"/>
      <c r="I139" s="56"/>
    </row>
    <row r="140" ht="15.75" customHeight="1">
      <c r="G140" s="56"/>
      <c r="H140" s="56"/>
      <c r="I140" s="56"/>
    </row>
    <row r="141" ht="15.75" customHeight="1">
      <c r="G141" s="56"/>
      <c r="H141" s="56"/>
      <c r="I141" s="56"/>
    </row>
    <row r="142" ht="15.75" customHeight="1">
      <c r="G142" s="56"/>
      <c r="H142" s="56"/>
      <c r="I142" s="56"/>
    </row>
    <row r="143" ht="15.75" customHeight="1">
      <c r="G143" s="56"/>
      <c r="H143" s="56"/>
      <c r="I143" s="56"/>
    </row>
    <row r="144" ht="15.75" customHeight="1">
      <c r="G144" s="56"/>
      <c r="H144" s="56"/>
      <c r="I144" s="56"/>
    </row>
    <row r="145" ht="15.75" customHeight="1">
      <c r="G145" s="56"/>
      <c r="H145" s="56"/>
      <c r="I145" s="56"/>
    </row>
    <row r="146" ht="15.75" customHeight="1">
      <c r="G146" s="56"/>
      <c r="H146" s="56"/>
      <c r="I146" s="56"/>
    </row>
    <row r="147" ht="15.75" customHeight="1">
      <c r="G147" s="56"/>
      <c r="H147" s="56"/>
      <c r="I147" s="56"/>
    </row>
    <row r="148" ht="15.75" customHeight="1">
      <c r="G148" s="56"/>
      <c r="H148" s="56"/>
      <c r="I148" s="56"/>
    </row>
    <row r="149" ht="15.75" customHeight="1">
      <c r="G149" s="56"/>
      <c r="H149" s="56"/>
      <c r="I149" s="56"/>
    </row>
    <row r="150" ht="15.75" customHeight="1">
      <c r="G150" s="56"/>
      <c r="H150" s="56"/>
      <c r="I150" s="56"/>
    </row>
    <row r="151" ht="15.75" customHeight="1">
      <c r="G151" s="56"/>
      <c r="H151" s="56"/>
      <c r="I151" s="56"/>
    </row>
    <row r="152" ht="15.75" customHeight="1">
      <c r="G152" s="56"/>
      <c r="H152" s="56"/>
      <c r="I152" s="56"/>
    </row>
    <row r="153" ht="15.75" customHeight="1">
      <c r="G153" s="56"/>
      <c r="H153" s="56"/>
      <c r="I153" s="56"/>
    </row>
    <row r="154" ht="15.75" customHeight="1">
      <c r="G154" s="56"/>
      <c r="H154" s="56"/>
      <c r="I154" s="56"/>
    </row>
    <row r="155" ht="15.75" customHeight="1">
      <c r="G155" s="56"/>
      <c r="H155" s="56"/>
      <c r="I155" s="56"/>
    </row>
    <row r="156" ht="15.75" customHeight="1">
      <c r="G156" s="56"/>
      <c r="H156" s="56"/>
      <c r="I156" s="56"/>
    </row>
    <row r="157" ht="15.75" customHeight="1">
      <c r="G157" s="56"/>
      <c r="H157" s="56"/>
      <c r="I157" s="56"/>
    </row>
    <row r="158" ht="15.75" customHeight="1">
      <c r="G158" s="56"/>
      <c r="H158" s="56"/>
      <c r="I158" s="56"/>
    </row>
    <row r="159" ht="15.75" customHeight="1">
      <c r="G159" s="56"/>
      <c r="H159" s="56"/>
      <c r="I159" s="56"/>
    </row>
    <row r="160" ht="15.75" customHeight="1">
      <c r="G160" s="56"/>
      <c r="H160" s="56"/>
      <c r="I160" s="56"/>
    </row>
    <row r="161" ht="15.75" customHeight="1">
      <c r="G161" s="56"/>
      <c r="H161" s="56"/>
      <c r="I161" s="56"/>
    </row>
    <row r="162" ht="15.75" customHeight="1">
      <c r="G162" s="56"/>
      <c r="H162" s="56"/>
      <c r="I162" s="56"/>
    </row>
    <row r="163" ht="15.75" customHeight="1">
      <c r="G163" s="56"/>
      <c r="H163" s="56"/>
      <c r="I163" s="56"/>
    </row>
    <row r="164" ht="15.75" customHeight="1">
      <c r="G164" s="56"/>
      <c r="H164" s="56"/>
      <c r="I164" s="56"/>
    </row>
    <row r="165" ht="15.75" customHeight="1">
      <c r="G165" s="56"/>
      <c r="H165" s="56"/>
      <c r="I165" s="56"/>
    </row>
    <row r="166" ht="15.75" customHeight="1">
      <c r="G166" s="56"/>
      <c r="H166" s="56"/>
      <c r="I166" s="56"/>
    </row>
    <row r="167" ht="15.75" customHeight="1">
      <c r="G167" s="56"/>
      <c r="H167" s="56"/>
      <c r="I167" s="56"/>
    </row>
    <row r="168" ht="15.75" customHeight="1">
      <c r="G168" s="56"/>
      <c r="H168" s="56"/>
      <c r="I168" s="56"/>
    </row>
    <row r="169" ht="15.75" customHeight="1">
      <c r="G169" s="56"/>
      <c r="H169" s="56"/>
      <c r="I169" s="56"/>
    </row>
    <row r="170" ht="15.75" customHeight="1">
      <c r="G170" s="56"/>
      <c r="H170" s="56"/>
      <c r="I170" s="56"/>
    </row>
    <row r="171" ht="15.75" customHeight="1">
      <c r="G171" s="56"/>
      <c r="H171" s="56"/>
      <c r="I171" s="56"/>
    </row>
    <row r="172" ht="15.75" customHeight="1">
      <c r="G172" s="56"/>
      <c r="H172" s="56"/>
      <c r="I172" s="56"/>
    </row>
    <row r="173" ht="15.75" customHeight="1">
      <c r="G173" s="56"/>
      <c r="H173" s="56"/>
      <c r="I173" s="56"/>
    </row>
    <row r="174" ht="15.75" customHeight="1">
      <c r="G174" s="56"/>
      <c r="H174" s="56"/>
      <c r="I174" s="56"/>
    </row>
    <row r="175" ht="15.75" customHeight="1">
      <c r="G175" s="56"/>
      <c r="H175" s="56"/>
      <c r="I175" s="56"/>
    </row>
    <row r="176" ht="15.75" customHeight="1">
      <c r="G176" s="56"/>
      <c r="H176" s="56"/>
      <c r="I176" s="56"/>
    </row>
    <row r="177" ht="15.75" customHeight="1">
      <c r="G177" s="56"/>
      <c r="H177" s="56"/>
      <c r="I177" s="56"/>
    </row>
    <row r="178" ht="15.75" customHeight="1">
      <c r="G178" s="56"/>
      <c r="H178" s="56"/>
      <c r="I178" s="56"/>
    </row>
    <row r="179" ht="15.75" customHeight="1">
      <c r="G179" s="56"/>
      <c r="H179" s="56"/>
      <c r="I179" s="56"/>
    </row>
    <row r="180" ht="15.75" customHeight="1">
      <c r="G180" s="56"/>
      <c r="H180" s="56"/>
      <c r="I180" s="56"/>
    </row>
    <row r="181" ht="15.75" customHeight="1">
      <c r="G181" s="56"/>
      <c r="H181" s="56"/>
      <c r="I181" s="56"/>
    </row>
    <row r="182" ht="15.75" customHeight="1">
      <c r="G182" s="56"/>
      <c r="H182" s="56"/>
      <c r="I182" s="56"/>
    </row>
    <row r="183" ht="15.75" customHeight="1">
      <c r="G183" s="56"/>
      <c r="H183" s="56"/>
      <c r="I183" s="56"/>
    </row>
    <row r="184" ht="15.75" customHeight="1">
      <c r="G184" s="56"/>
      <c r="H184" s="56"/>
      <c r="I184" s="56"/>
    </row>
    <row r="185" ht="15.75" customHeight="1">
      <c r="G185" s="56"/>
      <c r="H185" s="56"/>
      <c r="I185" s="56"/>
    </row>
    <row r="186" ht="15.75" customHeight="1">
      <c r="G186" s="56"/>
      <c r="H186" s="56"/>
      <c r="I186" s="56"/>
    </row>
    <row r="187" ht="15.75" customHeight="1">
      <c r="G187" s="56"/>
      <c r="H187" s="56"/>
      <c r="I187" s="56"/>
    </row>
    <row r="188" ht="15.75" customHeight="1">
      <c r="G188" s="56"/>
      <c r="H188" s="56"/>
      <c r="I188" s="56"/>
    </row>
    <row r="189" ht="15.75" customHeight="1">
      <c r="G189" s="56"/>
      <c r="H189" s="56"/>
      <c r="I189" s="56"/>
    </row>
    <row r="190" ht="15.75" customHeight="1">
      <c r="G190" s="56"/>
      <c r="H190" s="56"/>
      <c r="I190" s="56"/>
    </row>
    <row r="191" ht="15.75" customHeight="1">
      <c r="G191" s="56"/>
      <c r="H191" s="56"/>
      <c r="I191" s="56"/>
    </row>
    <row r="192" ht="15.75" customHeight="1">
      <c r="G192" s="56"/>
      <c r="H192" s="56"/>
      <c r="I192" s="56"/>
    </row>
    <row r="193" ht="15.75" customHeight="1">
      <c r="G193" s="56"/>
      <c r="H193" s="56"/>
      <c r="I193" s="56"/>
    </row>
    <row r="194" ht="15.75" customHeight="1">
      <c r="G194" s="56"/>
      <c r="H194" s="56"/>
      <c r="I194" s="56"/>
    </row>
    <row r="195" ht="15.75" customHeight="1">
      <c r="G195" s="56"/>
      <c r="H195" s="56"/>
      <c r="I195" s="56"/>
    </row>
    <row r="196" ht="15.75" customHeight="1">
      <c r="G196" s="56"/>
      <c r="H196" s="56"/>
      <c r="I196" s="56"/>
    </row>
    <row r="197" ht="15.75" customHeight="1">
      <c r="G197" s="56"/>
      <c r="H197" s="56"/>
      <c r="I197" s="56"/>
    </row>
    <row r="198" ht="15.75" customHeight="1">
      <c r="G198" s="56"/>
      <c r="H198" s="56"/>
      <c r="I198" s="56"/>
    </row>
    <row r="199" ht="15.75" customHeight="1">
      <c r="G199" s="56"/>
      <c r="H199" s="56"/>
      <c r="I199" s="56"/>
    </row>
    <row r="200" ht="15.75" customHeight="1">
      <c r="G200" s="56"/>
      <c r="H200" s="56"/>
      <c r="I200" s="56"/>
    </row>
    <row r="201" ht="15.75" customHeight="1">
      <c r="G201" s="56"/>
      <c r="H201" s="56"/>
      <c r="I201" s="56"/>
    </row>
    <row r="202" ht="15.75" customHeight="1">
      <c r="G202" s="56"/>
      <c r="H202" s="56"/>
      <c r="I202" s="56"/>
    </row>
    <row r="203" ht="15.75" customHeight="1">
      <c r="G203" s="56"/>
      <c r="H203" s="56"/>
      <c r="I203" s="56"/>
    </row>
    <row r="204" ht="15.75" customHeight="1">
      <c r="G204" s="56"/>
      <c r="H204" s="56"/>
      <c r="I204" s="56"/>
    </row>
    <row r="205" ht="15.75" customHeight="1">
      <c r="G205" s="56"/>
      <c r="H205" s="56"/>
      <c r="I205" s="56"/>
    </row>
    <row r="206" ht="15.75" customHeight="1">
      <c r="G206" s="56"/>
      <c r="H206" s="56"/>
      <c r="I206" s="56"/>
    </row>
    <row r="207" ht="15.75" customHeight="1">
      <c r="G207" s="56"/>
      <c r="H207" s="56"/>
      <c r="I207" s="56"/>
    </row>
    <row r="208" ht="15.75" customHeight="1">
      <c r="G208" s="56"/>
      <c r="H208" s="56"/>
      <c r="I208" s="56"/>
    </row>
    <row r="209" ht="15.75" customHeight="1">
      <c r="G209" s="56"/>
      <c r="H209" s="56"/>
      <c r="I209" s="56"/>
    </row>
    <row r="210" ht="15.75" customHeight="1">
      <c r="G210" s="56"/>
      <c r="H210" s="56"/>
      <c r="I210" s="56"/>
    </row>
    <row r="211" ht="15.75" customHeight="1">
      <c r="G211" s="56"/>
      <c r="H211" s="56"/>
      <c r="I211" s="56"/>
    </row>
    <row r="212" ht="15.75" customHeight="1">
      <c r="G212" s="56"/>
      <c r="H212" s="56"/>
      <c r="I212" s="56"/>
    </row>
    <row r="213" ht="15.75" customHeight="1">
      <c r="G213" s="56"/>
      <c r="H213" s="56"/>
      <c r="I213" s="56"/>
    </row>
    <row r="214" ht="15.75" customHeight="1">
      <c r="G214" s="56"/>
      <c r="H214" s="56"/>
      <c r="I214" s="56"/>
    </row>
    <row r="215" ht="15.75" customHeight="1">
      <c r="G215" s="56"/>
      <c r="H215" s="56"/>
      <c r="I215" s="56"/>
    </row>
    <row r="216" ht="15.75" customHeight="1">
      <c r="G216" s="56"/>
      <c r="H216" s="56"/>
      <c r="I216" s="56"/>
    </row>
    <row r="217" ht="15.75" customHeight="1">
      <c r="G217" s="56"/>
      <c r="H217" s="56"/>
      <c r="I217" s="56"/>
    </row>
    <row r="218" ht="15.75" customHeight="1">
      <c r="G218" s="56"/>
      <c r="H218" s="56"/>
      <c r="I218" s="56"/>
    </row>
    <row r="219" ht="15.75" customHeight="1">
      <c r="G219" s="56"/>
      <c r="H219" s="56"/>
      <c r="I219" s="56"/>
    </row>
    <row r="220" ht="15.75" customHeight="1">
      <c r="G220" s="56"/>
      <c r="H220" s="56"/>
      <c r="I220" s="56"/>
    </row>
    <row r="221" ht="15.75" customHeight="1">
      <c r="G221" s="56"/>
      <c r="H221" s="56"/>
      <c r="I221" s="56"/>
    </row>
    <row r="222" ht="15.75" customHeight="1">
      <c r="G222" s="56"/>
      <c r="H222" s="56"/>
      <c r="I222" s="56"/>
    </row>
    <row r="223" ht="15.75" customHeight="1">
      <c r="G223" s="56"/>
      <c r="H223" s="56"/>
      <c r="I223" s="56"/>
    </row>
    <row r="224" ht="15.75" customHeight="1">
      <c r="G224" s="56"/>
      <c r="H224" s="56"/>
      <c r="I224" s="56"/>
    </row>
    <row r="225" ht="15.75" customHeight="1">
      <c r="G225" s="56"/>
      <c r="H225" s="56"/>
      <c r="I225" s="56"/>
    </row>
    <row r="226" ht="15.75" customHeight="1">
      <c r="G226" s="56"/>
      <c r="H226" s="56"/>
      <c r="I226" s="56"/>
    </row>
    <row r="227" ht="15.75" customHeight="1">
      <c r="G227" s="56"/>
      <c r="H227" s="56"/>
      <c r="I227" s="56"/>
    </row>
    <row r="228" ht="15.75" customHeight="1">
      <c r="G228" s="56"/>
      <c r="H228" s="56"/>
      <c r="I228" s="56"/>
    </row>
    <row r="229" ht="15.75" customHeight="1">
      <c r="G229" s="56"/>
      <c r="H229" s="56"/>
      <c r="I229" s="56"/>
    </row>
    <row r="230" ht="15.75" customHeight="1">
      <c r="G230" s="56"/>
      <c r="H230" s="56"/>
      <c r="I230" s="56"/>
    </row>
    <row r="231" ht="15.75" customHeight="1">
      <c r="G231" s="56"/>
      <c r="H231" s="56"/>
      <c r="I231" s="56"/>
    </row>
    <row r="232" ht="15.75" customHeight="1">
      <c r="G232" s="56"/>
      <c r="H232" s="56"/>
      <c r="I232" s="56"/>
    </row>
    <row r="233" ht="15.75" customHeight="1">
      <c r="G233" s="56"/>
      <c r="H233" s="56"/>
      <c r="I233" s="56"/>
    </row>
    <row r="234" ht="15.75" customHeight="1">
      <c r="G234" s="56"/>
      <c r="H234" s="56"/>
      <c r="I234" s="56"/>
    </row>
    <row r="235" ht="15.75" customHeight="1">
      <c r="G235" s="56"/>
      <c r="H235" s="56"/>
      <c r="I235" s="56"/>
    </row>
    <row r="236" ht="15.75" customHeight="1">
      <c r="G236" s="56"/>
      <c r="H236" s="56"/>
      <c r="I236" s="56"/>
    </row>
    <row r="237" ht="15.75" customHeight="1">
      <c r="G237" s="56"/>
      <c r="H237" s="56"/>
      <c r="I237" s="56"/>
    </row>
    <row r="238" ht="15.75" customHeight="1">
      <c r="G238" s="56"/>
      <c r="H238" s="56"/>
      <c r="I238" s="56"/>
    </row>
    <row r="239" ht="15.75" customHeight="1">
      <c r="G239" s="56"/>
      <c r="H239" s="56"/>
      <c r="I239" s="56"/>
    </row>
    <row r="240" ht="15.75" customHeight="1">
      <c r="G240" s="56"/>
      <c r="H240" s="56"/>
      <c r="I240" s="56"/>
    </row>
    <row r="241" ht="15.75" customHeight="1">
      <c r="G241" s="56"/>
      <c r="H241" s="56"/>
      <c r="I241" s="56"/>
    </row>
    <row r="242" ht="15.75" customHeight="1">
      <c r="G242" s="56"/>
      <c r="H242" s="56"/>
      <c r="I242" s="56"/>
    </row>
    <row r="243" ht="15.75" customHeight="1">
      <c r="G243" s="56"/>
      <c r="H243" s="56"/>
      <c r="I243" s="56"/>
    </row>
    <row r="244" ht="15.75" customHeight="1">
      <c r="G244" s="56"/>
      <c r="H244" s="56"/>
      <c r="I244" s="56"/>
    </row>
    <row r="245" ht="15.75" customHeight="1">
      <c r="G245" s="56"/>
      <c r="H245" s="56"/>
      <c r="I245" s="56"/>
    </row>
    <row r="246" ht="15.75" customHeight="1">
      <c r="G246" s="56"/>
      <c r="H246" s="56"/>
      <c r="I246" s="56"/>
    </row>
    <row r="247" ht="15.75" customHeight="1">
      <c r="G247" s="56"/>
      <c r="H247" s="56"/>
      <c r="I247" s="56"/>
    </row>
    <row r="248" ht="15.75" customHeight="1">
      <c r="G248" s="56"/>
      <c r="H248" s="56"/>
      <c r="I248" s="56"/>
    </row>
    <row r="249" ht="15.75" customHeight="1">
      <c r="G249" s="56"/>
      <c r="H249" s="56"/>
      <c r="I249" s="56"/>
    </row>
    <row r="250" ht="15.75" customHeight="1">
      <c r="G250" s="56"/>
      <c r="H250" s="56"/>
      <c r="I250" s="56"/>
    </row>
    <row r="251" ht="15.75" customHeight="1">
      <c r="G251" s="56"/>
      <c r="H251" s="56"/>
      <c r="I251" s="56"/>
    </row>
    <row r="252" ht="15.75" customHeight="1">
      <c r="G252" s="56"/>
      <c r="H252" s="56"/>
      <c r="I252" s="56"/>
    </row>
    <row r="253" ht="15.75" customHeight="1">
      <c r="G253" s="56"/>
      <c r="H253" s="56"/>
      <c r="I253" s="56"/>
    </row>
    <row r="254" ht="15.75" customHeight="1">
      <c r="G254" s="56"/>
      <c r="H254" s="56"/>
      <c r="I254" s="56"/>
    </row>
    <row r="255" ht="15.75" customHeight="1">
      <c r="G255" s="56"/>
      <c r="H255" s="56"/>
      <c r="I255" s="56"/>
    </row>
    <row r="256" ht="15.75" customHeight="1">
      <c r="G256" s="56"/>
      <c r="H256" s="56"/>
      <c r="I256" s="56"/>
    </row>
    <row r="257" ht="15.75" customHeight="1">
      <c r="G257" s="56"/>
      <c r="H257" s="56"/>
      <c r="I257" s="56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4"/>
  <mergeCells count="10">
    <mergeCell ref="A37:M37"/>
    <mergeCell ref="A55:F55"/>
    <mergeCell ref="A57:M57"/>
    <mergeCell ref="A1:M1"/>
    <mergeCell ref="A2:M2"/>
    <mergeCell ref="A5:M5"/>
    <mergeCell ref="A7:M7"/>
    <mergeCell ref="A11:M11"/>
    <mergeCell ref="A17:M17"/>
    <mergeCell ref="A22:M22"/>
  </mergeCells>
  <conditionalFormatting sqref="G5:G1000">
    <cfRule type="cellIs" dxfId="0" priority="1" operator="equal">
      <formula>"DISPONIVEL"</formula>
    </cfRule>
  </conditionalFormatting>
  <conditionalFormatting sqref="G5:G1000">
    <cfRule type="cellIs" dxfId="1" priority="2" operator="equal">
      <formula>"PACKED"</formula>
    </cfRule>
  </conditionalFormatting>
  <conditionalFormatting sqref="G5:G1000">
    <cfRule type="cellIs" dxfId="2" priority="3" operator="equal">
      <formula>"EM_CAMPO"</formula>
    </cfRule>
  </conditionalFormatting>
  <conditionalFormatting sqref="G5:G1000">
    <cfRule type="cellIs" dxfId="3" priority="4" operator="equal">
      <formula>"MANUTENCAO"</formula>
    </cfRule>
  </conditionalFormatting>
  <conditionalFormatting sqref="G5:G1000">
    <cfRule type="cellIs" dxfId="4" priority="5" operator="equal">
      <formula>"EMPRESTADO"</formula>
    </cfRule>
  </conditionalFormatting>
  <conditionalFormatting sqref="G5:G1000">
    <cfRule type="cellIs" dxfId="5" priority="6" operator="equal">
      <formula>"VENDIDO"</formula>
    </cfRule>
  </conditionalFormatting>
  <conditionalFormatting sqref="G5:G1000">
    <cfRule type="cellIs" dxfId="5" priority="7" operator="equal">
      <formula>"BAIXA"</formula>
    </cfRule>
  </conditionalFormatting>
  <conditionalFormatting sqref="H5:H1000">
    <cfRule type="cellIs" dxfId="6" priority="8" operator="equal">
      <formula>"NOVO"</formula>
    </cfRule>
  </conditionalFormatting>
  <conditionalFormatting sqref="H5:H1000">
    <cfRule type="cellIs" dxfId="7" priority="9" operator="equal">
      <formula>"SEMI_NOVO"</formula>
    </cfRule>
  </conditionalFormatting>
  <conditionalFormatting sqref="H5:H1000">
    <cfRule type="cellIs" dxfId="8" priority="10" operator="equal">
      <formula>"USADO"</formula>
    </cfRule>
  </conditionalFormatting>
  <conditionalFormatting sqref="H5:H1000">
    <cfRule type="cellIs" dxfId="9" priority="11" operator="equal">
      <formula>"RECONDICIONADO"</formula>
    </cfRule>
  </conditionalFormatting>
  <conditionalFormatting sqref="I5:I1000">
    <cfRule type="expression" dxfId="10" priority="12">
      <formula>I5="★★★★★"</formula>
    </cfRule>
  </conditionalFormatting>
  <conditionalFormatting sqref="I5:I1000">
    <cfRule type="expression" dxfId="11" priority="13">
      <formula>I5="★★★★☆"</formula>
    </cfRule>
  </conditionalFormatting>
  <conditionalFormatting sqref="I5:I1000">
    <cfRule type="expression" dxfId="12" priority="14">
      <formula>I5="★★★☆☆"</formula>
    </cfRule>
  </conditionalFormatting>
  <conditionalFormatting sqref="I5:I1000">
    <cfRule type="expression" dxfId="13" priority="15">
      <formula>I5="★★☆☆☆"</formula>
    </cfRule>
  </conditionalFormatting>
  <conditionalFormatting sqref="I5:I1000">
    <cfRule type="expression" dxfId="14" priority="16">
      <formula>I5="★☆☆☆☆"</formula>
    </cfRule>
  </conditionalFormatting>
  <conditionalFormatting sqref="L5:L1000">
    <cfRule type="cellIs" dxfId="0" priority="17" operator="lessThan">
      <formula>0.2</formula>
    </cfRule>
  </conditionalFormatting>
  <conditionalFormatting sqref="L5:L1000">
    <cfRule type="cellIs" dxfId="2" priority="18" operator="between">
      <formula>0.2</formula>
      <formula>0.4</formula>
    </cfRule>
  </conditionalFormatting>
  <conditionalFormatting sqref="L5:L1000">
    <cfRule type="cellIs" dxfId="15" priority="19" operator="between">
      <formula>0.4</formula>
      <formula>0.6</formula>
    </cfRule>
  </conditionalFormatting>
  <conditionalFormatting sqref="L5:L1000">
    <cfRule type="cellIs" dxfId="16" priority="20" operator="greaterThanOrEqual">
      <formula>0.6</formula>
    </cfRule>
  </conditionalFormatting>
  <dataValidations>
    <dataValidation type="list" allowBlank="1" sqref="H6 H8:H10 H12:H16 H18:H21 H23:H36 H38:H56 H58:H257">
      <formula1>"NOVO,SEMI_NOVO,USADO,RECONDICIONADO"</formula1>
    </dataValidation>
    <dataValidation type="list" allowBlank="1" sqref="G6 G8:G10 G12:G16 G18:G21 G23:G36 G38:G56 G58:G257">
      <formula1>"DISPONIVEL,PACKED,EM_CAMPO,MANUTENCAO,EMPRESTADO,VENDIDO,BAIXA"</formula1>
    </dataValidation>
    <dataValidation type="list" allowBlank="1" sqref="I6 I8:I10 I12:I16 I18:I21 I23:I36 I38:I56 I58:I257">
      <formula1>"★☆☆☆☆,★★☆☆☆,★★★☆☆,★★★★☆,★★★★★"</formula1>
    </dataValidation>
  </dataValidations>
  <hyperlinks>
    <hyperlink r:id="rId1" ref="A6"/>
    <hyperlink r:id="rId2" ref="A8"/>
    <hyperlink r:id="rId3" ref="A9"/>
    <hyperlink r:id="rId4" ref="A10"/>
    <hyperlink r:id="rId5" ref="A12"/>
    <hyperlink r:id="rId6" ref="A13"/>
    <hyperlink r:id="rId7" ref="A14"/>
    <hyperlink r:id="rId8" ref="A15"/>
    <hyperlink r:id="rId9" ref="A16"/>
    <hyperlink r:id="rId10" ref="A18"/>
    <hyperlink r:id="rId11" ref="A19"/>
    <hyperlink r:id="rId12" ref="A20"/>
    <hyperlink r:id="rId13" ref="A21"/>
    <hyperlink r:id="rId14" ref="A23"/>
    <hyperlink r:id="rId15" ref="A24"/>
    <hyperlink r:id="rId16" ref="A25"/>
    <hyperlink r:id="rId17" ref="A26"/>
    <hyperlink r:id="rId18" ref="A27"/>
    <hyperlink r:id="rId19" ref="A28"/>
    <hyperlink r:id="rId20" ref="A29"/>
    <hyperlink r:id="rId21" ref="A30"/>
    <hyperlink r:id="rId22" ref="A31"/>
    <hyperlink r:id="rId23" ref="A32"/>
    <hyperlink r:id="rId24" ref="A33"/>
    <hyperlink r:id="rId25" ref="A34"/>
    <hyperlink r:id="rId26" ref="A35"/>
    <hyperlink r:id="rId27" ref="A36"/>
    <hyperlink r:id="rId28" ref="A38"/>
    <hyperlink r:id="rId29" ref="A39"/>
    <hyperlink r:id="rId30" ref="A40"/>
    <hyperlink r:id="rId31" ref="A41"/>
    <hyperlink r:id="rId32" ref="A42"/>
    <hyperlink r:id="rId33" ref="A43"/>
    <hyperlink r:id="rId34" ref="A44"/>
    <hyperlink r:id="rId35" ref="A45"/>
    <hyperlink r:id="rId36" ref="A46"/>
    <hyperlink r:id="rId37" ref="A47"/>
    <hyperlink r:id="rId38" ref="A48"/>
    <hyperlink r:id="rId39" ref="A49"/>
    <hyperlink r:id="rId40" ref="A50"/>
    <hyperlink r:id="rId41" ref="A51"/>
    <hyperlink r:id="rId42" ref="A52"/>
    <hyperlink r:id="rId43" ref="A53"/>
  </hyperlinks>
  <printOptions/>
  <pageMargins bottom="1.0" footer="0.0" header="0.0" left="0.75" right="0.75" top="1.0"/>
  <pageSetup orientation="landscape"/>
  <drawing r:id="rId4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B5CF6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26" width="8.71"/>
  </cols>
  <sheetData>
    <row r="1" ht="37.5" customHeight="1">
      <c r="A1" s="123" t="s">
        <v>1143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5"/>
    </row>
    <row r="2" ht="21.75" customHeight="1">
      <c r="A2" s="90" t="s">
        <v>1144</v>
      </c>
    </row>
    <row r="3" ht="6.0" customHeight="1"/>
    <row r="4" ht="27.75" customHeight="1">
      <c r="A4" s="91" t="s">
        <v>140</v>
      </c>
      <c r="B4" s="91" t="s">
        <v>123</v>
      </c>
      <c r="C4" s="91" t="s">
        <v>141</v>
      </c>
      <c r="D4" s="91" t="s">
        <v>142</v>
      </c>
      <c r="E4" s="91" t="s">
        <v>143</v>
      </c>
      <c r="F4" s="91" t="s">
        <v>144</v>
      </c>
      <c r="G4" s="91" t="s">
        <v>118</v>
      </c>
      <c r="H4" s="91" t="s">
        <v>145</v>
      </c>
      <c r="I4" s="91" t="s">
        <v>125</v>
      </c>
      <c r="J4" s="91" t="s">
        <v>146</v>
      </c>
      <c r="K4" s="91" t="s">
        <v>91</v>
      </c>
      <c r="L4" s="91" t="s">
        <v>136</v>
      </c>
      <c r="M4" s="91" t="s">
        <v>147</v>
      </c>
    </row>
    <row r="5" ht="24.0" customHeight="1">
      <c r="A5" s="124" t="s">
        <v>1145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5"/>
    </row>
    <row r="6" ht="21.75" customHeight="1">
      <c r="A6" s="125" t="s">
        <v>1146</v>
      </c>
      <c r="B6" s="74" t="s">
        <v>1147</v>
      </c>
      <c r="C6" s="57"/>
      <c r="D6" s="57" t="s">
        <v>1148</v>
      </c>
      <c r="E6" s="57"/>
      <c r="F6" s="57"/>
      <c r="G6" s="57" t="s">
        <v>75</v>
      </c>
      <c r="H6" s="57" t="s">
        <v>153</v>
      </c>
      <c r="I6" s="99" t="s">
        <v>81</v>
      </c>
      <c r="J6" s="59">
        <v>565.0</v>
      </c>
      <c r="K6" s="95">
        <v>528.85</v>
      </c>
      <c r="L6" s="96">
        <f t="shared" ref="L6:L7" si="1">IF(J6&gt;0,(J6-K6)/J6,"")</f>
        <v>0.06398230088</v>
      </c>
      <c r="M6" s="97"/>
    </row>
    <row r="7" ht="21.75" customHeight="1">
      <c r="A7" s="126" t="s">
        <v>1149</v>
      </c>
      <c r="B7" s="78" t="s">
        <v>1147</v>
      </c>
      <c r="C7" s="51"/>
      <c r="D7" s="51" t="s">
        <v>1148</v>
      </c>
      <c r="E7" s="51"/>
      <c r="F7" s="51"/>
      <c r="G7" s="51" t="s">
        <v>75</v>
      </c>
      <c r="H7" s="51" t="s">
        <v>153</v>
      </c>
      <c r="I7" s="99" t="s">
        <v>81</v>
      </c>
      <c r="J7" s="53">
        <v>565.0</v>
      </c>
      <c r="K7" s="95">
        <v>528.85</v>
      </c>
      <c r="L7" s="100">
        <f t="shared" si="1"/>
        <v>0.06398230088</v>
      </c>
      <c r="M7" s="101"/>
    </row>
    <row r="8" ht="24.0" customHeight="1">
      <c r="A8" s="124" t="s">
        <v>1150</v>
      </c>
      <c r="B8" s="89"/>
      <c r="C8" s="89"/>
      <c r="D8" s="89"/>
      <c r="E8" s="89"/>
      <c r="F8" s="89"/>
      <c r="G8" s="89"/>
      <c r="H8" s="89"/>
      <c r="I8" s="89"/>
      <c r="J8" s="89"/>
      <c r="K8" s="89"/>
      <c r="L8" s="89"/>
      <c r="M8" s="5"/>
    </row>
    <row r="9" ht="21.75" customHeight="1">
      <c r="A9" s="125" t="s">
        <v>1151</v>
      </c>
      <c r="B9" s="74" t="s">
        <v>1152</v>
      </c>
      <c r="C9" s="57"/>
      <c r="D9" s="57" t="s">
        <v>1153</v>
      </c>
      <c r="E9" s="57"/>
      <c r="F9" s="57"/>
      <c r="G9" s="57" t="s">
        <v>75</v>
      </c>
      <c r="H9" s="57" t="s">
        <v>153</v>
      </c>
      <c r="I9" s="99" t="s">
        <v>81</v>
      </c>
      <c r="J9" s="59">
        <v>565.0</v>
      </c>
      <c r="K9" s="95">
        <v>528.85</v>
      </c>
      <c r="L9" s="96">
        <f>IF(J9&gt;0,(J9-K9)/J9,"")</f>
        <v>0.06398230088</v>
      </c>
      <c r="M9" s="97"/>
    </row>
    <row r="10" ht="24.0" customHeight="1">
      <c r="A10" s="124" t="s">
        <v>1154</v>
      </c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5"/>
    </row>
    <row r="11" ht="21.75" customHeight="1">
      <c r="A11" s="126" t="s">
        <v>1155</v>
      </c>
      <c r="B11" s="78" t="s">
        <v>1156</v>
      </c>
      <c r="C11" s="51" t="s">
        <v>1157</v>
      </c>
      <c r="D11" s="51" t="s">
        <v>1158</v>
      </c>
      <c r="E11" s="51"/>
      <c r="F11" s="51"/>
      <c r="G11" s="51" t="s">
        <v>75</v>
      </c>
      <c r="H11" s="51" t="s">
        <v>153</v>
      </c>
      <c r="I11" s="99" t="s">
        <v>81</v>
      </c>
      <c r="J11" s="53">
        <v>565.0</v>
      </c>
      <c r="K11" s="95">
        <v>15.6</v>
      </c>
      <c r="L11" s="100">
        <f t="shared" ref="L11:L12" si="2">IF(J11&gt;0,(J11-K11)/J11,"")</f>
        <v>0.9723893805</v>
      </c>
      <c r="M11" s="101"/>
    </row>
    <row r="12" ht="21.75" customHeight="1">
      <c r="A12" s="125" t="s">
        <v>1159</v>
      </c>
      <c r="B12" s="74" t="s">
        <v>1160</v>
      </c>
      <c r="C12" s="57" t="s">
        <v>1161</v>
      </c>
      <c r="D12" s="57" t="s">
        <v>1158</v>
      </c>
      <c r="E12" s="57"/>
      <c r="F12" s="57"/>
      <c r="G12" s="57" t="s">
        <v>75</v>
      </c>
      <c r="H12" s="57" t="s">
        <v>153</v>
      </c>
      <c r="I12" s="99" t="s">
        <v>81</v>
      </c>
      <c r="J12" s="59">
        <v>565.0</v>
      </c>
      <c r="K12" s="95">
        <v>17.0</v>
      </c>
      <c r="L12" s="96">
        <f t="shared" si="2"/>
        <v>0.9699115044</v>
      </c>
      <c r="M12" s="97"/>
    </row>
    <row r="13" ht="24.0" customHeight="1">
      <c r="A13" s="124" t="s">
        <v>1162</v>
      </c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5"/>
    </row>
    <row r="14" ht="21.75" customHeight="1">
      <c r="A14" s="126" t="s">
        <v>1163</v>
      </c>
      <c r="B14" s="78" t="s">
        <v>1164</v>
      </c>
      <c r="C14" s="51" t="s">
        <v>1165</v>
      </c>
      <c r="D14" s="51" t="s">
        <v>1166</v>
      </c>
      <c r="E14" s="51" t="s">
        <v>1167</v>
      </c>
      <c r="F14" s="51"/>
      <c r="G14" s="51" t="s">
        <v>75</v>
      </c>
      <c r="H14" s="51" t="s">
        <v>153</v>
      </c>
      <c r="I14" s="99" t="s">
        <v>81</v>
      </c>
      <c r="J14" s="53">
        <v>1420.0</v>
      </c>
      <c r="K14" s="95">
        <v>1420.0</v>
      </c>
      <c r="L14" s="100">
        <f t="shared" ref="L14:L21" si="3">IF(J14&gt;0,(J14-K14)/J14,"")</f>
        <v>0</v>
      </c>
      <c r="M14" s="101"/>
    </row>
    <row r="15" ht="21.75" customHeight="1">
      <c r="A15" s="125" t="s">
        <v>1168</v>
      </c>
      <c r="B15" s="74" t="s">
        <v>1169</v>
      </c>
      <c r="C15" s="57"/>
      <c r="D15" s="57" t="s">
        <v>1166</v>
      </c>
      <c r="E15" s="57"/>
      <c r="F15" s="57"/>
      <c r="G15" s="57" t="s">
        <v>75</v>
      </c>
      <c r="H15" s="57" t="s">
        <v>153</v>
      </c>
      <c r="I15" s="99" t="s">
        <v>81</v>
      </c>
      <c r="J15" s="59">
        <v>565.0</v>
      </c>
      <c r="K15" s="95">
        <v>565.0</v>
      </c>
      <c r="L15" s="96">
        <f t="shared" si="3"/>
        <v>0</v>
      </c>
      <c r="M15" s="97"/>
    </row>
    <row r="16" ht="21.75" customHeight="1">
      <c r="A16" s="126" t="s">
        <v>1170</v>
      </c>
      <c r="B16" s="78" t="s">
        <v>1171</v>
      </c>
      <c r="C16" s="51" t="s">
        <v>1172</v>
      </c>
      <c r="D16" s="51" t="s">
        <v>1166</v>
      </c>
      <c r="E16" s="51"/>
      <c r="F16" s="51"/>
      <c r="G16" s="51" t="s">
        <v>75</v>
      </c>
      <c r="H16" s="51" t="s">
        <v>153</v>
      </c>
      <c r="I16" s="99" t="s">
        <v>81</v>
      </c>
      <c r="J16" s="53">
        <v>565.0</v>
      </c>
      <c r="K16" s="95">
        <v>990.0</v>
      </c>
      <c r="L16" s="100">
        <f t="shared" si="3"/>
        <v>-0.7522123894</v>
      </c>
      <c r="M16" s="101"/>
    </row>
    <row r="17" ht="21.75" customHeight="1">
      <c r="A17" s="125" t="s">
        <v>1173</v>
      </c>
      <c r="B17" s="74" t="s">
        <v>1171</v>
      </c>
      <c r="C17" s="57" t="s">
        <v>1172</v>
      </c>
      <c r="D17" s="57" t="s">
        <v>1166</v>
      </c>
      <c r="E17" s="57"/>
      <c r="F17" s="57"/>
      <c r="G17" s="57" t="s">
        <v>75</v>
      </c>
      <c r="H17" s="57" t="s">
        <v>153</v>
      </c>
      <c r="I17" s="99" t="s">
        <v>81</v>
      </c>
      <c r="J17" s="59">
        <v>565.0</v>
      </c>
      <c r="K17" s="95">
        <v>990.0</v>
      </c>
      <c r="L17" s="96">
        <f t="shared" si="3"/>
        <v>-0.7522123894</v>
      </c>
      <c r="M17" s="97"/>
    </row>
    <row r="18" ht="21.75" customHeight="1">
      <c r="A18" s="126" t="s">
        <v>1174</v>
      </c>
      <c r="B18" s="78" t="s">
        <v>1175</v>
      </c>
      <c r="C18" s="51" t="s">
        <v>1176</v>
      </c>
      <c r="D18" s="51" t="s">
        <v>1166</v>
      </c>
      <c r="E18" s="51"/>
      <c r="F18" s="51"/>
      <c r="G18" s="51" t="s">
        <v>75</v>
      </c>
      <c r="H18" s="51" t="s">
        <v>153</v>
      </c>
      <c r="I18" s="99" t="s">
        <v>81</v>
      </c>
      <c r="J18" s="53">
        <v>226.0</v>
      </c>
      <c r="K18" s="95">
        <v>375.0</v>
      </c>
      <c r="L18" s="100">
        <f t="shared" si="3"/>
        <v>-0.6592920354</v>
      </c>
      <c r="M18" s="101"/>
    </row>
    <row r="19" ht="21.75" customHeight="1">
      <c r="A19" s="125" t="s">
        <v>1177</v>
      </c>
      <c r="B19" s="74" t="s">
        <v>1164</v>
      </c>
      <c r="C19" s="57" t="s">
        <v>1165</v>
      </c>
      <c r="D19" s="57" t="s">
        <v>1166</v>
      </c>
      <c r="E19" s="57" t="s">
        <v>1178</v>
      </c>
      <c r="F19" s="57"/>
      <c r="G19" s="57" t="s">
        <v>75</v>
      </c>
      <c r="H19" s="57" t="s">
        <v>153</v>
      </c>
      <c r="I19" s="99" t="s">
        <v>81</v>
      </c>
      <c r="J19" s="59">
        <v>1420.0</v>
      </c>
      <c r="K19" s="95">
        <v>1420.0</v>
      </c>
      <c r="L19" s="96">
        <f t="shared" si="3"/>
        <v>0</v>
      </c>
      <c r="M19" s="97"/>
    </row>
    <row r="20" ht="21.75" customHeight="1">
      <c r="A20" s="126" t="s">
        <v>1179</v>
      </c>
      <c r="B20" s="78" t="s">
        <v>1180</v>
      </c>
      <c r="C20" s="51" t="s">
        <v>395</v>
      </c>
      <c r="D20" s="51" t="s">
        <v>1166</v>
      </c>
      <c r="E20" s="51"/>
      <c r="F20" s="51"/>
      <c r="G20" s="51" t="s">
        <v>75</v>
      </c>
      <c r="H20" s="51" t="s">
        <v>153</v>
      </c>
      <c r="I20" s="99" t="s">
        <v>81</v>
      </c>
      <c r="J20" s="53">
        <v>260.0</v>
      </c>
      <c r="K20" s="95">
        <v>375.0</v>
      </c>
      <c r="L20" s="100">
        <f t="shared" si="3"/>
        <v>-0.4423076923</v>
      </c>
      <c r="M20" s="101"/>
    </row>
    <row r="21" ht="21.75" customHeight="1">
      <c r="A21" s="125" t="s">
        <v>1181</v>
      </c>
      <c r="B21" s="74" t="s">
        <v>1182</v>
      </c>
      <c r="C21" s="57" t="s">
        <v>1183</v>
      </c>
      <c r="D21" s="57" t="s">
        <v>1166</v>
      </c>
      <c r="E21" s="57" t="s">
        <v>1184</v>
      </c>
      <c r="F21" s="57"/>
      <c r="G21" s="57" t="s">
        <v>75</v>
      </c>
      <c r="H21" s="57" t="s">
        <v>153</v>
      </c>
      <c r="I21" s="99" t="s">
        <v>81</v>
      </c>
      <c r="J21" s="59">
        <v>595.0</v>
      </c>
      <c r="K21" s="95">
        <v>595.0</v>
      </c>
      <c r="L21" s="96">
        <f t="shared" si="3"/>
        <v>0</v>
      </c>
      <c r="M21" s="97"/>
    </row>
    <row r="22" ht="15.75" customHeight="1">
      <c r="G22" s="56"/>
      <c r="H22" s="56"/>
      <c r="I22" s="56"/>
    </row>
    <row r="23" ht="25.5" customHeight="1">
      <c r="A23" s="103" t="s">
        <v>1185</v>
      </c>
      <c r="B23" s="104"/>
      <c r="C23" s="104"/>
      <c r="D23" s="104"/>
      <c r="E23" s="104"/>
      <c r="F23" s="105"/>
      <c r="G23" s="106"/>
      <c r="H23" s="106"/>
      <c r="I23" s="106"/>
      <c r="J23" s="107">
        <v>8441.0</v>
      </c>
      <c r="K23" s="106"/>
      <c r="L23" s="106"/>
      <c r="M23" s="106"/>
    </row>
    <row r="24" ht="15.75" customHeight="1">
      <c r="G24" s="56"/>
      <c r="H24" s="56"/>
      <c r="I24" s="56"/>
    </row>
    <row r="25" ht="18.0" customHeight="1">
      <c r="A25" s="32" t="s">
        <v>72</v>
      </c>
    </row>
    <row r="26" ht="15.75" customHeight="1">
      <c r="G26" s="56"/>
      <c r="H26" s="56"/>
      <c r="I26" s="56"/>
    </row>
    <row r="27" ht="15.75" customHeight="1">
      <c r="G27" s="56"/>
      <c r="H27" s="56"/>
      <c r="I27" s="56"/>
    </row>
    <row r="28" ht="15.75" customHeight="1">
      <c r="G28" s="56"/>
      <c r="H28" s="56"/>
      <c r="I28" s="56"/>
    </row>
    <row r="29" ht="15.75" customHeight="1">
      <c r="G29" s="56"/>
      <c r="H29" s="56"/>
      <c r="I29" s="56"/>
    </row>
    <row r="30" ht="15.75" customHeight="1">
      <c r="G30" s="56"/>
      <c r="H30" s="56"/>
      <c r="I30" s="56"/>
    </row>
    <row r="31" ht="15.75" customHeight="1">
      <c r="G31" s="56"/>
      <c r="H31" s="56"/>
      <c r="I31" s="56"/>
    </row>
    <row r="32" ht="15.75" customHeight="1">
      <c r="G32" s="56"/>
      <c r="H32" s="56"/>
      <c r="I32" s="56"/>
    </row>
    <row r="33" ht="15.75" customHeight="1">
      <c r="G33" s="56"/>
      <c r="H33" s="56"/>
      <c r="I33" s="56"/>
    </row>
    <row r="34" ht="15.75" customHeight="1">
      <c r="G34" s="56"/>
      <c r="H34" s="56"/>
      <c r="I34" s="56"/>
    </row>
    <row r="35" ht="15.75" customHeight="1">
      <c r="G35" s="56"/>
      <c r="H35" s="56"/>
      <c r="I35" s="56"/>
    </row>
    <row r="36" ht="15.75" customHeight="1">
      <c r="G36" s="56"/>
      <c r="H36" s="56"/>
      <c r="I36" s="56"/>
    </row>
    <row r="37" ht="15.75" customHeight="1">
      <c r="G37" s="56"/>
      <c r="H37" s="56"/>
      <c r="I37" s="56"/>
    </row>
    <row r="38" ht="15.75" customHeight="1">
      <c r="G38" s="56"/>
      <c r="H38" s="56"/>
      <c r="I38" s="56"/>
    </row>
    <row r="39" ht="15.75" customHeight="1">
      <c r="G39" s="56"/>
      <c r="H39" s="56"/>
      <c r="I39" s="56"/>
    </row>
    <row r="40" ht="15.75" customHeight="1">
      <c r="G40" s="56"/>
      <c r="H40" s="56"/>
      <c r="I40" s="56"/>
    </row>
    <row r="41" ht="15.75" customHeight="1">
      <c r="G41" s="56"/>
      <c r="H41" s="56"/>
      <c r="I41" s="56"/>
    </row>
    <row r="42" ht="15.75" customHeight="1">
      <c r="G42" s="56"/>
      <c r="H42" s="56"/>
      <c r="I42" s="56"/>
    </row>
    <row r="43" ht="15.75" customHeight="1">
      <c r="G43" s="56"/>
      <c r="H43" s="56"/>
      <c r="I43" s="56"/>
    </row>
    <row r="44" ht="15.75" customHeight="1">
      <c r="G44" s="56"/>
      <c r="H44" s="56"/>
      <c r="I44" s="56"/>
    </row>
    <row r="45" ht="15.75" customHeight="1">
      <c r="G45" s="56"/>
      <c r="H45" s="56"/>
      <c r="I45" s="56"/>
    </row>
    <row r="46" ht="15.75" customHeight="1">
      <c r="G46" s="56"/>
      <c r="H46" s="56"/>
      <c r="I46" s="56"/>
    </row>
    <row r="47" ht="15.75" customHeight="1">
      <c r="G47" s="56"/>
      <c r="H47" s="56"/>
      <c r="I47" s="56"/>
    </row>
    <row r="48" ht="15.75" customHeight="1">
      <c r="G48" s="56"/>
      <c r="H48" s="56"/>
      <c r="I48" s="56"/>
    </row>
    <row r="49" ht="15.75" customHeight="1">
      <c r="G49" s="56"/>
      <c r="H49" s="56"/>
      <c r="I49" s="56"/>
    </row>
    <row r="50" ht="15.75" customHeight="1">
      <c r="G50" s="56"/>
      <c r="H50" s="56"/>
      <c r="I50" s="56"/>
    </row>
    <row r="51" ht="15.75" customHeight="1">
      <c r="G51" s="56"/>
      <c r="H51" s="56"/>
      <c r="I51" s="56"/>
    </row>
    <row r="52" ht="15.75" customHeight="1">
      <c r="G52" s="56"/>
      <c r="H52" s="56"/>
      <c r="I52" s="56"/>
    </row>
    <row r="53" ht="15.75" customHeight="1">
      <c r="G53" s="56"/>
      <c r="H53" s="56"/>
      <c r="I53" s="56"/>
    </row>
    <row r="54" ht="15.75" customHeight="1">
      <c r="G54" s="56"/>
      <c r="H54" s="56"/>
      <c r="I54" s="56"/>
    </row>
    <row r="55" ht="15.75" customHeight="1">
      <c r="G55" s="56"/>
      <c r="H55" s="56"/>
      <c r="I55" s="56"/>
    </row>
    <row r="56" ht="15.75" customHeight="1">
      <c r="G56" s="56"/>
      <c r="H56" s="56"/>
      <c r="I56" s="56"/>
    </row>
    <row r="57" ht="15.75" customHeight="1">
      <c r="G57" s="56"/>
      <c r="H57" s="56"/>
      <c r="I57" s="56"/>
    </row>
    <row r="58" ht="15.75" customHeight="1">
      <c r="G58" s="56"/>
      <c r="H58" s="56"/>
      <c r="I58" s="56"/>
    </row>
    <row r="59" ht="15.75" customHeight="1">
      <c r="G59" s="56"/>
      <c r="H59" s="56"/>
      <c r="I59" s="56"/>
    </row>
    <row r="60" ht="15.75" customHeight="1">
      <c r="G60" s="56"/>
      <c r="H60" s="56"/>
      <c r="I60" s="56"/>
    </row>
    <row r="61" ht="15.75" customHeight="1">
      <c r="G61" s="56"/>
      <c r="H61" s="56"/>
      <c r="I61" s="56"/>
    </row>
    <row r="62" ht="15.75" customHeight="1">
      <c r="G62" s="56"/>
      <c r="H62" s="56"/>
      <c r="I62" s="56"/>
    </row>
    <row r="63" ht="15.75" customHeight="1">
      <c r="G63" s="56"/>
      <c r="H63" s="56"/>
      <c r="I63" s="56"/>
    </row>
    <row r="64" ht="15.75" customHeight="1">
      <c r="G64" s="56"/>
      <c r="H64" s="56"/>
      <c r="I64" s="56"/>
    </row>
    <row r="65" ht="15.75" customHeight="1">
      <c r="G65" s="56"/>
      <c r="H65" s="56"/>
      <c r="I65" s="56"/>
    </row>
    <row r="66" ht="15.75" customHeight="1">
      <c r="G66" s="56"/>
      <c r="H66" s="56"/>
      <c r="I66" s="56"/>
    </row>
    <row r="67" ht="15.75" customHeight="1">
      <c r="G67" s="56"/>
      <c r="H67" s="56"/>
      <c r="I67" s="56"/>
    </row>
    <row r="68" ht="15.75" customHeight="1">
      <c r="G68" s="56"/>
      <c r="H68" s="56"/>
      <c r="I68" s="56"/>
    </row>
    <row r="69" ht="15.75" customHeight="1">
      <c r="G69" s="56"/>
      <c r="H69" s="56"/>
      <c r="I69" s="56"/>
    </row>
    <row r="70" ht="15.75" customHeight="1">
      <c r="G70" s="56"/>
      <c r="H70" s="56"/>
      <c r="I70" s="56"/>
    </row>
    <row r="71" ht="15.75" customHeight="1">
      <c r="G71" s="56"/>
      <c r="H71" s="56"/>
      <c r="I71" s="56"/>
    </row>
    <row r="72" ht="15.75" customHeight="1">
      <c r="G72" s="56"/>
      <c r="H72" s="56"/>
      <c r="I72" s="56"/>
    </row>
    <row r="73" ht="15.75" customHeight="1">
      <c r="G73" s="56"/>
      <c r="H73" s="56"/>
      <c r="I73" s="56"/>
    </row>
    <row r="74" ht="15.75" customHeight="1">
      <c r="G74" s="56"/>
      <c r="H74" s="56"/>
      <c r="I74" s="56"/>
    </row>
    <row r="75" ht="15.75" customHeight="1">
      <c r="G75" s="56"/>
      <c r="H75" s="56"/>
      <c r="I75" s="56"/>
    </row>
    <row r="76" ht="15.75" customHeight="1">
      <c r="G76" s="56"/>
      <c r="H76" s="56"/>
      <c r="I76" s="56"/>
    </row>
    <row r="77" ht="15.75" customHeight="1">
      <c r="G77" s="56"/>
      <c r="H77" s="56"/>
      <c r="I77" s="56"/>
    </row>
    <row r="78" ht="15.75" customHeight="1">
      <c r="G78" s="56"/>
      <c r="H78" s="56"/>
      <c r="I78" s="56"/>
    </row>
    <row r="79" ht="15.75" customHeight="1">
      <c r="G79" s="56"/>
      <c r="H79" s="56"/>
      <c r="I79" s="56"/>
    </row>
    <row r="80" ht="15.75" customHeight="1">
      <c r="G80" s="56"/>
      <c r="H80" s="56"/>
      <c r="I80" s="56"/>
    </row>
    <row r="81" ht="15.75" customHeight="1">
      <c r="G81" s="56"/>
      <c r="H81" s="56"/>
      <c r="I81" s="56"/>
    </row>
    <row r="82" ht="15.75" customHeight="1">
      <c r="G82" s="56"/>
      <c r="H82" s="56"/>
      <c r="I82" s="56"/>
    </row>
    <row r="83" ht="15.75" customHeight="1">
      <c r="G83" s="56"/>
      <c r="H83" s="56"/>
      <c r="I83" s="56"/>
    </row>
    <row r="84" ht="15.75" customHeight="1">
      <c r="G84" s="56"/>
      <c r="H84" s="56"/>
      <c r="I84" s="56"/>
    </row>
    <row r="85" ht="15.75" customHeight="1">
      <c r="G85" s="56"/>
      <c r="H85" s="56"/>
      <c r="I85" s="56"/>
    </row>
    <row r="86" ht="15.75" customHeight="1">
      <c r="G86" s="56"/>
      <c r="H86" s="56"/>
      <c r="I86" s="56"/>
    </row>
    <row r="87" ht="15.75" customHeight="1">
      <c r="G87" s="56"/>
      <c r="H87" s="56"/>
      <c r="I87" s="56"/>
    </row>
    <row r="88" ht="15.75" customHeight="1">
      <c r="G88" s="56"/>
      <c r="H88" s="56"/>
      <c r="I88" s="56"/>
    </row>
    <row r="89" ht="15.75" customHeight="1">
      <c r="G89" s="56"/>
      <c r="H89" s="56"/>
      <c r="I89" s="56"/>
    </row>
    <row r="90" ht="15.75" customHeight="1">
      <c r="G90" s="56"/>
      <c r="H90" s="56"/>
      <c r="I90" s="56"/>
    </row>
    <row r="91" ht="15.75" customHeight="1">
      <c r="G91" s="56"/>
      <c r="H91" s="56"/>
      <c r="I91" s="56"/>
    </row>
    <row r="92" ht="15.75" customHeight="1">
      <c r="G92" s="56"/>
      <c r="H92" s="56"/>
      <c r="I92" s="56"/>
    </row>
    <row r="93" ht="15.75" customHeight="1">
      <c r="G93" s="56"/>
      <c r="H93" s="56"/>
      <c r="I93" s="56"/>
    </row>
    <row r="94" ht="15.75" customHeight="1">
      <c r="G94" s="56"/>
      <c r="H94" s="56"/>
      <c r="I94" s="56"/>
    </row>
    <row r="95" ht="15.75" customHeight="1">
      <c r="G95" s="56"/>
      <c r="H95" s="56"/>
      <c r="I95" s="56"/>
    </row>
    <row r="96" ht="15.75" customHeight="1">
      <c r="G96" s="56"/>
      <c r="H96" s="56"/>
      <c r="I96" s="56"/>
    </row>
    <row r="97" ht="15.75" customHeight="1">
      <c r="G97" s="56"/>
      <c r="H97" s="56"/>
      <c r="I97" s="56"/>
    </row>
    <row r="98" ht="15.75" customHeight="1">
      <c r="G98" s="56"/>
      <c r="H98" s="56"/>
      <c r="I98" s="56"/>
    </row>
    <row r="99" ht="15.75" customHeight="1">
      <c r="G99" s="56"/>
      <c r="H99" s="56"/>
      <c r="I99" s="56"/>
    </row>
    <row r="100" ht="15.75" customHeight="1">
      <c r="G100" s="56"/>
      <c r="H100" s="56"/>
      <c r="I100" s="56"/>
    </row>
    <row r="101" ht="15.75" customHeight="1">
      <c r="G101" s="56"/>
      <c r="H101" s="56"/>
      <c r="I101" s="56"/>
    </row>
    <row r="102" ht="15.75" customHeight="1">
      <c r="G102" s="56"/>
      <c r="H102" s="56"/>
      <c r="I102" s="56"/>
    </row>
    <row r="103" ht="15.75" customHeight="1">
      <c r="G103" s="56"/>
      <c r="H103" s="56"/>
      <c r="I103" s="56"/>
    </row>
    <row r="104" ht="15.75" customHeight="1">
      <c r="G104" s="56"/>
      <c r="H104" s="56"/>
      <c r="I104" s="56"/>
    </row>
    <row r="105" ht="15.75" customHeight="1">
      <c r="G105" s="56"/>
      <c r="H105" s="56"/>
      <c r="I105" s="56"/>
    </row>
    <row r="106" ht="15.75" customHeight="1">
      <c r="G106" s="56"/>
      <c r="H106" s="56"/>
      <c r="I106" s="56"/>
    </row>
    <row r="107" ht="15.75" customHeight="1">
      <c r="G107" s="56"/>
      <c r="H107" s="56"/>
      <c r="I107" s="56"/>
    </row>
    <row r="108" ht="15.75" customHeight="1">
      <c r="G108" s="56"/>
      <c r="H108" s="56"/>
      <c r="I108" s="56"/>
    </row>
    <row r="109" ht="15.75" customHeight="1">
      <c r="G109" s="56"/>
      <c r="H109" s="56"/>
      <c r="I109" s="56"/>
    </row>
    <row r="110" ht="15.75" customHeight="1">
      <c r="G110" s="56"/>
      <c r="H110" s="56"/>
      <c r="I110" s="56"/>
    </row>
    <row r="111" ht="15.75" customHeight="1">
      <c r="G111" s="56"/>
      <c r="H111" s="56"/>
      <c r="I111" s="56"/>
    </row>
    <row r="112" ht="15.75" customHeight="1">
      <c r="G112" s="56"/>
      <c r="H112" s="56"/>
      <c r="I112" s="56"/>
    </row>
    <row r="113" ht="15.75" customHeight="1">
      <c r="G113" s="56"/>
      <c r="H113" s="56"/>
      <c r="I113" s="56"/>
    </row>
    <row r="114" ht="15.75" customHeight="1">
      <c r="G114" s="56"/>
      <c r="H114" s="56"/>
      <c r="I114" s="56"/>
    </row>
    <row r="115" ht="15.75" customHeight="1">
      <c r="G115" s="56"/>
      <c r="H115" s="56"/>
      <c r="I115" s="56"/>
    </row>
    <row r="116" ht="15.75" customHeight="1">
      <c r="G116" s="56"/>
      <c r="H116" s="56"/>
      <c r="I116" s="56"/>
    </row>
    <row r="117" ht="15.75" customHeight="1">
      <c r="G117" s="56"/>
      <c r="H117" s="56"/>
      <c r="I117" s="56"/>
    </row>
    <row r="118" ht="15.75" customHeight="1">
      <c r="G118" s="56"/>
      <c r="H118" s="56"/>
      <c r="I118" s="56"/>
    </row>
    <row r="119" ht="15.75" customHeight="1">
      <c r="G119" s="56"/>
      <c r="H119" s="56"/>
      <c r="I119" s="56"/>
    </row>
    <row r="120" ht="15.75" customHeight="1">
      <c r="G120" s="56"/>
      <c r="H120" s="56"/>
      <c r="I120" s="56"/>
    </row>
    <row r="121" ht="15.75" customHeight="1">
      <c r="G121" s="56"/>
      <c r="H121" s="56"/>
      <c r="I121" s="56"/>
    </row>
    <row r="122" ht="15.75" customHeight="1">
      <c r="G122" s="56"/>
      <c r="H122" s="56"/>
      <c r="I122" s="56"/>
    </row>
    <row r="123" ht="15.75" customHeight="1">
      <c r="G123" s="56"/>
      <c r="H123" s="56"/>
      <c r="I123" s="56"/>
    </row>
    <row r="124" ht="15.75" customHeight="1">
      <c r="G124" s="56"/>
      <c r="H124" s="56"/>
      <c r="I124" s="56"/>
    </row>
    <row r="125" ht="15.75" customHeight="1">
      <c r="G125" s="56"/>
      <c r="H125" s="56"/>
      <c r="I125" s="56"/>
    </row>
    <row r="126" ht="15.75" customHeight="1">
      <c r="G126" s="56"/>
      <c r="H126" s="56"/>
      <c r="I126" s="56"/>
    </row>
    <row r="127" ht="15.75" customHeight="1">
      <c r="G127" s="56"/>
      <c r="H127" s="56"/>
      <c r="I127" s="56"/>
    </row>
    <row r="128" ht="15.75" customHeight="1">
      <c r="G128" s="56"/>
      <c r="H128" s="56"/>
      <c r="I128" s="56"/>
    </row>
    <row r="129" ht="15.75" customHeight="1">
      <c r="G129" s="56"/>
      <c r="H129" s="56"/>
      <c r="I129" s="56"/>
    </row>
    <row r="130" ht="15.75" customHeight="1">
      <c r="G130" s="56"/>
      <c r="H130" s="56"/>
      <c r="I130" s="56"/>
    </row>
    <row r="131" ht="15.75" customHeight="1">
      <c r="G131" s="56"/>
      <c r="H131" s="56"/>
      <c r="I131" s="56"/>
    </row>
    <row r="132" ht="15.75" customHeight="1">
      <c r="G132" s="56"/>
      <c r="H132" s="56"/>
      <c r="I132" s="56"/>
    </row>
    <row r="133" ht="15.75" customHeight="1">
      <c r="G133" s="56"/>
      <c r="H133" s="56"/>
      <c r="I133" s="56"/>
    </row>
    <row r="134" ht="15.75" customHeight="1">
      <c r="G134" s="56"/>
      <c r="H134" s="56"/>
      <c r="I134" s="56"/>
    </row>
    <row r="135" ht="15.75" customHeight="1">
      <c r="G135" s="56"/>
      <c r="H135" s="56"/>
      <c r="I135" s="56"/>
    </row>
    <row r="136" ht="15.75" customHeight="1">
      <c r="G136" s="56"/>
      <c r="H136" s="56"/>
      <c r="I136" s="56"/>
    </row>
    <row r="137" ht="15.75" customHeight="1">
      <c r="G137" s="56"/>
      <c r="H137" s="56"/>
      <c r="I137" s="56"/>
    </row>
    <row r="138" ht="15.75" customHeight="1">
      <c r="G138" s="56"/>
      <c r="H138" s="56"/>
      <c r="I138" s="56"/>
    </row>
    <row r="139" ht="15.75" customHeight="1">
      <c r="G139" s="56"/>
      <c r="H139" s="56"/>
      <c r="I139" s="56"/>
    </row>
    <row r="140" ht="15.75" customHeight="1">
      <c r="G140" s="56"/>
      <c r="H140" s="56"/>
      <c r="I140" s="56"/>
    </row>
    <row r="141" ht="15.75" customHeight="1">
      <c r="G141" s="56"/>
      <c r="H141" s="56"/>
      <c r="I141" s="56"/>
    </row>
    <row r="142" ht="15.75" customHeight="1">
      <c r="G142" s="56"/>
      <c r="H142" s="56"/>
      <c r="I142" s="56"/>
    </row>
    <row r="143" ht="15.75" customHeight="1">
      <c r="G143" s="56"/>
      <c r="H143" s="56"/>
      <c r="I143" s="56"/>
    </row>
    <row r="144" ht="15.75" customHeight="1">
      <c r="G144" s="56"/>
      <c r="H144" s="56"/>
      <c r="I144" s="56"/>
    </row>
    <row r="145" ht="15.75" customHeight="1">
      <c r="G145" s="56"/>
      <c r="H145" s="56"/>
      <c r="I145" s="56"/>
    </row>
    <row r="146" ht="15.75" customHeight="1">
      <c r="G146" s="56"/>
      <c r="H146" s="56"/>
      <c r="I146" s="56"/>
    </row>
    <row r="147" ht="15.75" customHeight="1">
      <c r="G147" s="56"/>
      <c r="H147" s="56"/>
      <c r="I147" s="56"/>
    </row>
    <row r="148" ht="15.75" customHeight="1">
      <c r="G148" s="56"/>
      <c r="H148" s="56"/>
      <c r="I148" s="56"/>
    </row>
    <row r="149" ht="15.75" customHeight="1">
      <c r="G149" s="56"/>
      <c r="H149" s="56"/>
      <c r="I149" s="56"/>
    </row>
    <row r="150" ht="15.75" customHeight="1">
      <c r="G150" s="56"/>
      <c r="H150" s="56"/>
      <c r="I150" s="56"/>
    </row>
    <row r="151" ht="15.75" customHeight="1">
      <c r="G151" s="56"/>
      <c r="H151" s="56"/>
      <c r="I151" s="56"/>
    </row>
    <row r="152" ht="15.75" customHeight="1">
      <c r="G152" s="56"/>
      <c r="H152" s="56"/>
      <c r="I152" s="56"/>
    </row>
    <row r="153" ht="15.75" customHeight="1">
      <c r="G153" s="56"/>
      <c r="H153" s="56"/>
      <c r="I153" s="56"/>
    </row>
    <row r="154" ht="15.75" customHeight="1">
      <c r="G154" s="56"/>
      <c r="H154" s="56"/>
      <c r="I154" s="56"/>
    </row>
    <row r="155" ht="15.75" customHeight="1">
      <c r="G155" s="56"/>
      <c r="H155" s="56"/>
      <c r="I155" s="56"/>
    </row>
    <row r="156" ht="15.75" customHeight="1">
      <c r="G156" s="56"/>
      <c r="H156" s="56"/>
      <c r="I156" s="56"/>
    </row>
    <row r="157" ht="15.75" customHeight="1">
      <c r="G157" s="56"/>
      <c r="H157" s="56"/>
      <c r="I157" s="56"/>
    </row>
    <row r="158" ht="15.75" customHeight="1">
      <c r="G158" s="56"/>
      <c r="H158" s="56"/>
      <c r="I158" s="56"/>
    </row>
    <row r="159" ht="15.75" customHeight="1">
      <c r="G159" s="56"/>
      <c r="H159" s="56"/>
      <c r="I159" s="56"/>
    </row>
    <row r="160" ht="15.75" customHeight="1">
      <c r="G160" s="56"/>
      <c r="H160" s="56"/>
      <c r="I160" s="56"/>
    </row>
    <row r="161" ht="15.75" customHeight="1">
      <c r="G161" s="56"/>
      <c r="H161" s="56"/>
      <c r="I161" s="56"/>
    </row>
    <row r="162" ht="15.75" customHeight="1">
      <c r="G162" s="56"/>
      <c r="H162" s="56"/>
      <c r="I162" s="56"/>
    </row>
    <row r="163" ht="15.75" customHeight="1">
      <c r="G163" s="56"/>
      <c r="H163" s="56"/>
      <c r="I163" s="56"/>
    </row>
    <row r="164" ht="15.75" customHeight="1">
      <c r="G164" s="56"/>
      <c r="H164" s="56"/>
      <c r="I164" s="56"/>
    </row>
    <row r="165" ht="15.75" customHeight="1">
      <c r="G165" s="56"/>
      <c r="H165" s="56"/>
      <c r="I165" s="56"/>
    </row>
    <row r="166" ht="15.75" customHeight="1">
      <c r="G166" s="56"/>
      <c r="H166" s="56"/>
      <c r="I166" s="56"/>
    </row>
    <row r="167" ht="15.75" customHeight="1">
      <c r="G167" s="56"/>
      <c r="H167" s="56"/>
      <c r="I167" s="56"/>
    </row>
    <row r="168" ht="15.75" customHeight="1">
      <c r="G168" s="56"/>
      <c r="H168" s="56"/>
      <c r="I168" s="56"/>
    </row>
    <row r="169" ht="15.75" customHeight="1">
      <c r="G169" s="56"/>
      <c r="H169" s="56"/>
      <c r="I169" s="56"/>
    </row>
    <row r="170" ht="15.75" customHeight="1">
      <c r="G170" s="56"/>
      <c r="H170" s="56"/>
      <c r="I170" s="56"/>
    </row>
    <row r="171" ht="15.75" customHeight="1">
      <c r="G171" s="56"/>
      <c r="H171" s="56"/>
      <c r="I171" s="56"/>
    </row>
    <row r="172" ht="15.75" customHeight="1">
      <c r="G172" s="56"/>
      <c r="H172" s="56"/>
      <c r="I172" s="56"/>
    </row>
    <row r="173" ht="15.75" customHeight="1">
      <c r="G173" s="56"/>
      <c r="H173" s="56"/>
      <c r="I173" s="56"/>
    </row>
    <row r="174" ht="15.75" customHeight="1">
      <c r="G174" s="56"/>
      <c r="H174" s="56"/>
      <c r="I174" s="56"/>
    </row>
    <row r="175" ht="15.75" customHeight="1">
      <c r="G175" s="56"/>
      <c r="H175" s="56"/>
      <c r="I175" s="56"/>
    </row>
    <row r="176" ht="15.75" customHeight="1">
      <c r="G176" s="56"/>
      <c r="H176" s="56"/>
      <c r="I176" s="56"/>
    </row>
    <row r="177" ht="15.75" customHeight="1">
      <c r="G177" s="56"/>
      <c r="H177" s="56"/>
      <c r="I177" s="56"/>
    </row>
    <row r="178" ht="15.75" customHeight="1">
      <c r="G178" s="56"/>
      <c r="H178" s="56"/>
      <c r="I178" s="56"/>
    </row>
    <row r="179" ht="15.75" customHeight="1">
      <c r="G179" s="56"/>
      <c r="H179" s="56"/>
      <c r="I179" s="56"/>
    </row>
    <row r="180" ht="15.75" customHeight="1">
      <c r="G180" s="56"/>
      <c r="H180" s="56"/>
      <c r="I180" s="56"/>
    </row>
    <row r="181" ht="15.75" customHeight="1">
      <c r="G181" s="56"/>
      <c r="H181" s="56"/>
      <c r="I181" s="56"/>
    </row>
    <row r="182" ht="15.75" customHeight="1">
      <c r="G182" s="56"/>
      <c r="H182" s="56"/>
      <c r="I182" s="56"/>
    </row>
    <row r="183" ht="15.75" customHeight="1">
      <c r="G183" s="56"/>
      <c r="H183" s="56"/>
      <c r="I183" s="56"/>
    </row>
    <row r="184" ht="15.75" customHeight="1">
      <c r="G184" s="56"/>
      <c r="H184" s="56"/>
      <c r="I184" s="56"/>
    </row>
    <row r="185" ht="15.75" customHeight="1">
      <c r="G185" s="56"/>
      <c r="H185" s="56"/>
      <c r="I185" s="56"/>
    </row>
    <row r="186" ht="15.75" customHeight="1">
      <c r="G186" s="56"/>
      <c r="H186" s="56"/>
      <c r="I186" s="56"/>
    </row>
    <row r="187" ht="15.75" customHeight="1">
      <c r="G187" s="56"/>
      <c r="H187" s="56"/>
      <c r="I187" s="56"/>
    </row>
    <row r="188" ht="15.75" customHeight="1">
      <c r="G188" s="56"/>
      <c r="H188" s="56"/>
      <c r="I188" s="56"/>
    </row>
    <row r="189" ht="15.75" customHeight="1">
      <c r="G189" s="56"/>
      <c r="H189" s="56"/>
      <c r="I189" s="56"/>
    </row>
    <row r="190" ht="15.75" customHeight="1">
      <c r="G190" s="56"/>
      <c r="H190" s="56"/>
      <c r="I190" s="56"/>
    </row>
    <row r="191" ht="15.75" customHeight="1">
      <c r="G191" s="56"/>
      <c r="H191" s="56"/>
      <c r="I191" s="56"/>
    </row>
    <row r="192" ht="15.75" customHeight="1">
      <c r="G192" s="56"/>
      <c r="H192" s="56"/>
      <c r="I192" s="56"/>
    </row>
    <row r="193" ht="15.75" customHeight="1">
      <c r="G193" s="56"/>
      <c r="H193" s="56"/>
      <c r="I193" s="56"/>
    </row>
    <row r="194" ht="15.75" customHeight="1">
      <c r="G194" s="56"/>
      <c r="H194" s="56"/>
      <c r="I194" s="56"/>
    </row>
    <row r="195" ht="15.75" customHeight="1">
      <c r="G195" s="56"/>
      <c r="H195" s="56"/>
      <c r="I195" s="56"/>
    </row>
    <row r="196" ht="15.75" customHeight="1">
      <c r="G196" s="56"/>
      <c r="H196" s="56"/>
      <c r="I196" s="56"/>
    </row>
    <row r="197" ht="15.75" customHeight="1">
      <c r="G197" s="56"/>
      <c r="H197" s="56"/>
      <c r="I197" s="56"/>
    </row>
    <row r="198" ht="15.75" customHeight="1">
      <c r="G198" s="56"/>
      <c r="H198" s="56"/>
      <c r="I198" s="56"/>
    </row>
    <row r="199" ht="15.75" customHeight="1">
      <c r="G199" s="56"/>
      <c r="H199" s="56"/>
      <c r="I199" s="56"/>
    </row>
    <row r="200" ht="15.75" customHeight="1">
      <c r="G200" s="56"/>
      <c r="H200" s="56"/>
      <c r="I200" s="56"/>
    </row>
    <row r="201" ht="15.75" customHeight="1">
      <c r="G201" s="56"/>
      <c r="H201" s="56"/>
      <c r="I201" s="56"/>
    </row>
    <row r="202" ht="15.75" customHeight="1">
      <c r="G202" s="56"/>
      <c r="H202" s="56"/>
      <c r="I202" s="56"/>
    </row>
    <row r="203" ht="15.75" customHeight="1">
      <c r="G203" s="56"/>
      <c r="H203" s="56"/>
      <c r="I203" s="56"/>
    </row>
    <row r="204" ht="15.75" customHeight="1">
      <c r="G204" s="56"/>
      <c r="H204" s="56"/>
      <c r="I204" s="56"/>
    </row>
    <row r="205" ht="15.75" customHeight="1">
      <c r="G205" s="56"/>
      <c r="H205" s="56"/>
      <c r="I205" s="56"/>
    </row>
    <row r="206" ht="15.75" customHeight="1">
      <c r="G206" s="56"/>
      <c r="H206" s="56"/>
      <c r="I206" s="56"/>
    </row>
    <row r="207" ht="15.75" customHeight="1">
      <c r="G207" s="56"/>
      <c r="H207" s="56"/>
      <c r="I207" s="56"/>
    </row>
    <row r="208" ht="15.75" customHeight="1">
      <c r="G208" s="56"/>
      <c r="H208" s="56"/>
      <c r="I208" s="56"/>
    </row>
    <row r="209" ht="15.75" customHeight="1">
      <c r="G209" s="56"/>
      <c r="H209" s="56"/>
      <c r="I209" s="56"/>
    </row>
    <row r="210" ht="15.75" customHeight="1">
      <c r="G210" s="56"/>
      <c r="H210" s="56"/>
      <c r="I210" s="56"/>
    </row>
    <row r="211" ht="15.75" customHeight="1">
      <c r="G211" s="56"/>
      <c r="H211" s="56"/>
      <c r="I211" s="56"/>
    </row>
    <row r="212" ht="15.75" customHeight="1">
      <c r="G212" s="56"/>
      <c r="H212" s="56"/>
      <c r="I212" s="56"/>
    </row>
    <row r="213" ht="15.75" customHeight="1">
      <c r="G213" s="56"/>
      <c r="H213" s="56"/>
      <c r="I213" s="56"/>
    </row>
    <row r="214" ht="15.75" customHeight="1">
      <c r="G214" s="56"/>
      <c r="H214" s="56"/>
      <c r="I214" s="56"/>
    </row>
    <row r="215" ht="15.75" customHeight="1">
      <c r="G215" s="56"/>
      <c r="H215" s="56"/>
      <c r="I215" s="56"/>
    </row>
    <row r="216" ht="15.75" customHeight="1">
      <c r="G216" s="56"/>
      <c r="H216" s="56"/>
      <c r="I216" s="56"/>
    </row>
    <row r="217" ht="15.75" customHeight="1">
      <c r="G217" s="56"/>
      <c r="H217" s="56"/>
      <c r="I217" s="56"/>
    </row>
    <row r="218" ht="15.75" customHeight="1">
      <c r="G218" s="56"/>
      <c r="H218" s="56"/>
      <c r="I218" s="56"/>
    </row>
    <row r="219" ht="15.75" customHeight="1">
      <c r="G219" s="56"/>
      <c r="H219" s="56"/>
      <c r="I219" s="56"/>
    </row>
    <row r="220" ht="15.75" customHeight="1">
      <c r="G220" s="56"/>
      <c r="H220" s="56"/>
      <c r="I220" s="56"/>
    </row>
    <row r="221" ht="15.75" customHeight="1">
      <c r="G221" s="56"/>
      <c r="H221" s="56"/>
      <c r="I221" s="56"/>
    </row>
    <row r="222" ht="15.75" customHeight="1">
      <c r="G222" s="56"/>
      <c r="H222" s="56"/>
      <c r="I222" s="56"/>
    </row>
    <row r="223" ht="15.75" customHeight="1">
      <c r="G223" s="56"/>
      <c r="H223" s="56"/>
      <c r="I223" s="56"/>
    </row>
    <row r="224" ht="15.75" customHeight="1">
      <c r="G224" s="56"/>
      <c r="H224" s="56"/>
      <c r="I224" s="56"/>
    </row>
    <row r="225" ht="15.75" customHeight="1">
      <c r="G225" s="56"/>
      <c r="H225" s="56"/>
      <c r="I225" s="56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4"/>
  <mergeCells count="8">
    <mergeCell ref="A1:M1"/>
    <mergeCell ref="A2:M2"/>
    <mergeCell ref="A5:M5"/>
    <mergeCell ref="A8:M8"/>
    <mergeCell ref="A10:M10"/>
    <mergeCell ref="A13:M13"/>
    <mergeCell ref="A23:F23"/>
    <mergeCell ref="A25:M25"/>
  </mergeCells>
  <conditionalFormatting sqref="G5:G1000">
    <cfRule type="cellIs" dxfId="0" priority="1" operator="equal">
      <formula>"DISPONIVEL"</formula>
    </cfRule>
  </conditionalFormatting>
  <conditionalFormatting sqref="G5:G1000">
    <cfRule type="cellIs" dxfId="1" priority="2" operator="equal">
      <formula>"PACKED"</formula>
    </cfRule>
  </conditionalFormatting>
  <conditionalFormatting sqref="G5:G1000">
    <cfRule type="cellIs" dxfId="2" priority="3" operator="equal">
      <formula>"EM_CAMPO"</formula>
    </cfRule>
  </conditionalFormatting>
  <conditionalFormatting sqref="G5:G1000">
    <cfRule type="cellIs" dxfId="3" priority="4" operator="equal">
      <formula>"MANUTENCAO"</formula>
    </cfRule>
  </conditionalFormatting>
  <conditionalFormatting sqref="G5:G1000">
    <cfRule type="cellIs" dxfId="4" priority="5" operator="equal">
      <formula>"EMPRESTADO"</formula>
    </cfRule>
  </conditionalFormatting>
  <conditionalFormatting sqref="G5:G1000">
    <cfRule type="cellIs" dxfId="5" priority="6" operator="equal">
      <formula>"VENDIDO"</formula>
    </cfRule>
  </conditionalFormatting>
  <conditionalFormatting sqref="G5:G1000">
    <cfRule type="cellIs" dxfId="5" priority="7" operator="equal">
      <formula>"BAIXA"</formula>
    </cfRule>
  </conditionalFormatting>
  <conditionalFormatting sqref="H5:H1000">
    <cfRule type="cellIs" dxfId="6" priority="8" operator="equal">
      <formula>"NOVO"</formula>
    </cfRule>
  </conditionalFormatting>
  <conditionalFormatting sqref="H5:H1000">
    <cfRule type="cellIs" dxfId="7" priority="9" operator="equal">
      <formula>"SEMI_NOVO"</formula>
    </cfRule>
  </conditionalFormatting>
  <conditionalFormatting sqref="H5:H1000">
    <cfRule type="cellIs" dxfId="8" priority="10" operator="equal">
      <formula>"USADO"</formula>
    </cfRule>
  </conditionalFormatting>
  <conditionalFormatting sqref="H5:H1000">
    <cfRule type="cellIs" dxfId="9" priority="11" operator="equal">
      <formula>"RECONDICIONADO"</formula>
    </cfRule>
  </conditionalFormatting>
  <conditionalFormatting sqref="I5:I1000">
    <cfRule type="expression" dxfId="10" priority="12">
      <formula>I5="★★★★★"</formula>
    </cfRule>
  </conditionalFormatting>
  <conditionalFormatting sqref="I5:I1000">
    <cfRule type="expression" dxfId="11" priority="13">
      <formula>I5="★★★★☆"</formula>
    </cfRule>
  </conditionalFormatting>
  <conditionalFormatting sqref="I5:I1000">
    <cfRule type="expression" dxfId="12" priority="14">
      <formula>I5="★★★☆☆"</formula>
    </cfRule>
  </conditionalFormatting>
  <conditionalFormatting sqref="I5:I1000">
    <cfRule type="expression" dxfId="13" priority="15">
      <formula>I5="★★☆☆☆"</formula>
    </cfRule>
  </conditionalFormatting>
  <conditionalFormatting sqref="I5:I1000">
    <cfRule type="expression" dxfId="14" priority="16">
      <formula>I5="★☆☆☆☆"</formula>
    </cfRule>
  </conditionalFormatting>
  <conditionalFormatting sqref="L5:L1000">
    <cfRule type="cellIs" dxfId="0" priority="17" operator="lessThan">
      <formula>0.2</formula>
    </cfRule>
  </conditionalFormatting>
  <conditionalFormatting sqref="L5:L1000">
    <cfRule type="cellIs" dxfId="2" priority="18" operator="between">
      <formula>0.2</formula>
      <formula>0.4</formula>
    </cfRule>
  </conditionalFormatting>
  <conditionalFormatting sqref="L5:L1000">
    <cfRule type="cellIs" dxfId="15" priority="19" operator="between">
      <formula>0.4</formula>
      <formula>0.6</formula>
    </cfRule>
  </conditionalFormatting>
  <conditionalFormatting sqref="L5:L1000">
    <cfRule type="cellIs" dxfId="16" priority="20" operator="greaterThanOrEqual">
      <formula>0.6</formula>
    </cfRule>
  </conditionalFormatting>
  <dataValidations>
    <dataValidation type="list" allowBlank="1" sqref="H6:H7 H9 H11:H12 H14:H24 H26:H225">
      <formula1>"NOVO,SEMI_NOVO,USADO,RECONDICIONADO"</formula1>
    </dataValidation>
    <dataValidation type="list" allowBlank="1" sqref="G6:G7 G9 G11:G12 G14:G24 G26:G225">
      <formula1>"DISPONIVEL,PACKED,EM_CAMPO,MANUTENCAO,EMPRESTADO,VENDIDO,BAIXA"</formula1>
    </dataValidation>
    <dataValidation type="list" allowBlank="1" sqref="I6:I7 I9 I11:I12 I14:I24 I26:I225">
      <formula1>"★☆☆☆☆,★★☆☆☆,★★★☆☆,★★★★☆,★★★★★"</formula1>
    </dataValidation>
  </dataValidations>
  <hyperlinks>
    <hyperlink r:id="rId1" ref="A6"/>
    <hyperlink r:id="rId2" ref="A7"/>
    <hyperlink r:id="rId3" ref="A9"/>
    <hyperlink r:id="rId4" ref="A11"/>
    <hyperlink r:id="rId5" ref="A12"/>
    <hyperlink r:id="rId6" ref="A14"/>
    <hyperlink r:id="rId7" ref="A15"/>
    <hyperlink r:id="rId8" ref="A16"/>
    <hyperlink r:id="rId9" ref="A17"/>
    <hyperlink r:id="rId10" ref="A18"/>
    <hyperlink r:id="rId11" ref="A19"/>
    <hyperlink r:id="rId12" ref="A20"/>
    <hyperlink r:id="rId13" ref="A21"/>
  </hyperlinks>
  <printOptions/>
  <pageMargins bottom="1.0" footer="0.0" header="0.0" left="0.75" right="0.75" top="1.0"/>
  <pageSetup orientation="landscape"/>
  <drawing r:id="rId14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4B8A6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26" width="8.71"/>
  </cols>
  <sheetData>
    <row r="1" ht="37.5" customHeight="1">
      <c r="A1" s="127" t="s">
        <v>1186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5"/>
    </row>
    <row r="2" ht="21.75" customHeight="1">
      <c r="A2" s="90" t="s">
        <v>1187</v>
      </c>
    </row>
    <row r="3" ht="6.0" customHeight="1"/>
    <row r="4" ht="27.75" customHeight="1">
      <c r="A4" s="91" t="s">
        <v>140</v>
      </c>
      <c r="B4" s="91" t="s">
        <v>123</v>
      </c>
      <c r="C4" s="91" t="s">
        <v>141</v>
      </c>
      <c r="D4" s="91" t="s">
        <v>142</v>
      </c>
      <c r="E4" s="91" t="s">
        <v>143</v>
      </c>
      <c r="F4" s="91" t="s">
        <v>144</v>
      </c>
      <c r="G4" s="91" t="s">
        <v>118</v>
      </c>
      <c r="H4" s="91" t="s">
        <v>145</v>
      </c>
      <c r="I4" s="91" t="s">
        <v>125</v>
      </c>
      <c r="J4" s="91" t="s">
        <v>146</v>
      </c>
      <c r="K4" s="91" t="s">
        <v>91</v>
      </c>
      <c r="L4" s="91" t="s">
        <v>136</v>
      </c>
      <c r="M4" s="91" t="s">
        <v>147</v>
      </c>
    </row>
    <row r="5" ht="24.0" customHeight="1">
      <c r="A5" s="128" t="s">
        <v>1188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5"/>
    </row>
    <row r="6" ht="21.75" customHeight="1">
      <c r="A6" s="129" t="s">
        <v>1189</v>
      </c>
      <c r="B6" s="74" t="s">
        <v>1190</v>
      </c>
      <c r="C6" s="57" t="s">
        <v>1191</v>
      </c>
      <c r="D6" s="57" t="s">
        <v>1192</v>
      </c>
      <c r="E6" s="57" t="s">
        <v>1193</v>
      </c>
      <c r="F6" s="57"/>
      <c r="G6" s="57" t="s">
        <v>75</v>
      </c>
      <c r="H6" s="57" t="s">
        <v>153</v>
      </c>
      <c r="I6" s="102" t="s">
        <v>132</v>
      </c>
      <c r="J6" s="59">
        <v>943.4</v>
      </c>
      <c r="K6" s="95">
        <v>1999.0</v>
      </c>
      <c r="L6" s="96">
        <f>IF(J6&gt;0,(J6-K6)/J6,"")</f>
        <v>-1.118931524</v>
      </c>
      <c r="M6" s="97"/>
    </row>
    <row r="7" ht="24.0" customHeight="1">
      <c r="A7" s="128" t="s">
        <v>1194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5"/>
    </row>
    <row r="8" ht="21.75" customHeight="1">
      <c r="A8" s="130" t="s">
        <v>1195</v>
      </c>
      <c r="B8" s="78" t="s">
        <v>1196</v>
      </c>
      <c r="C8" s="51" t="s">
        <v>1197</v>
      </c>
      <c r="D8" s="51" t="s">
        <v>1198</v>
      </c>
      <c r="E8" s="51" t="s">
        <v>1199</v>
      </c>
      <c r="F8" s="51"/>
      <c r="G8" s="51" t="s">
        <v>75</v>
      </c>
      <c r="H8" s="51" t="s">
        <v>153</v>
      </c>
      <c r="I8" s="102" t="s">
        <v>132</v>
      </c>
      <c r="J8" s="53">
        <v>2484.68</v>
      </c>
      <c r="K8" s="95">
        <v>2026.0</v>
      </c>
      <c r="L8" s="100">
        <f t="shared" ref="L8:L10" si="1">IF(J8&gt;0,(J8-K8)/J8,"")</f>
        <v>0.1846032487</v>
      </c>
      <c r="M8" s="101"/>
    </row>
    <row r="9" ht="21.75" customHeight="1">
      <c r="A9" s="129" t="s">
        <v>1200</v>
      </c>
      <c r="B9" s="74" t="s">
        <v>1201</v>
      </c>
      <c r="C9" s="57" t="s">
        <v>1202</v>
      </c>
      <c r="D9" s="57" t="s">
        <v>1198</v>
      </c>
      <c r="E9" s="57" t="s">
        <v>1203</v>
      </c>
      <c r="F9" s="57"/>
      <c r="G9" s="57" t="s">
        <v>75</v>
      </c>
      <c r="H9" s="57" t="s">
        <v>153</v>
      </c>
      <c r="I9" s="102" t="s">
        <v>132</v>
      </c>
      <c r="J9" s="59">
        <v>1250.0</v>
      </c>
      <c r="K9" s="95">
        <v>1999.0</v>
      </c>
      <c r="L9" s="96">
        <f t="shared" si="1"/>
        <v>-0.5992</v>
      </c>
      <c r="M9" s="97"/>
    </row>
    <row r="10" ht="21.75" customHeight="1">
      <c r="A10" s="130" t="s">
        <v>1204</v>
      </c>
      <c r="B10" s="78" t="s">
        <v>1205</v>
      </c>
      <c r="C10" s="51" t="s">
        <v>1206</v>
      </c>
      <c r="D10" s="51" t="s">
        <v>1198</v>
      </c>
      <c r="E10" s="51"/>
      <c r="F10" s="51"/>
      <c r="G10" s="51" t="s">
        <v>75</v>
      </c>
      <c r="H10" s="51" t="s">
        <v>153</v>
      </c>
      <c r="I10" s="102" t="s">
        <v>132</v>
      </c>
      <c r="J10" s="53">
        <v>3719.35</v>
      </c>
      <c r="K10" s="95">
        <v>2053.0</v>
      </c>
      <c r="L10" s="100">
        <f t="shared" si="1"/>
        <v>0.4480218318</v>
      </c>
      <c r="M10" s="101"/>
    </row>
    <row r="11" ht="24.0" customHeight="1">
      <c r="A11" s="128" t="s">
        <v>1207</v>
      </c>
      <c r="B11" s="89"/>
      <c r="C11" s="89"/>
      <c r="D11" s="89"/>
      <c r="E11" s="89"/>
      <c r="F11" s="89"/>
      <c r="G11" s="89"/>
      <c r="H11" s="89"/>
      <c r="I11" s="89"/>
      <c r="J11" s="89"/>
      <c r="K11" s="89"/>
      <c r="L11" s="89"/>
      <c r="M11" s="5"/>
    </row>
    <row r="12" ht="21.75" customHeight="1">
      <c r="A12" s="129" t="s">
        <v>1208</v>
      </c>
      <c r="B12" s="74" t="s">
        <v>1209</v>
      </c>
      <c r="C12" s="57" t="s">
        <v>1210</v>
      </c>
      <c r="D12" s="57" t="s">
        <v>1211</v>
      </c>
      <c r="E12" s="57" t="s">
        <v>1212</v>
      </c>
      <c r="F12" s="57"/>
      <c r="G12" s="57" t="s">
        <v>75</v>
      </c>
      <c r="H12" s="57" t="s">
        <v>153</v>
      </c>
      <c r="I12" s="102" t="s">
        <v>132</v>
      </c>
      <c r="J12" s="59">
        <v>370.0</v>
      </c>
      <c r="K12" s="95">
        <v>382.49</v>
      </c>
      <c r="L12" s="96">
        <f t="shared" ref="L12:L13" si="2">IF(J12&gt;0,(J12-K12)/J12,"")</f>
        <v>-0.03375675676</v>
      </c>
      <c r="M12" s="97"/>
    </row>
    <row r="13" ht="21.75" customHeight="1">
      <c r="A13" s="130" t="s">
        <v>1213</v>
      </c>
      <c r="B13" s="78" t="s">
        <v>1214</v>
      </c>
      <c r="C13" s="51" t="s">
        <v>289</v>
      </c>
      <c r="D13" s="51" t="s">
        <v>1211</v>
      </c>
      <c r="E13" s="51" t="s">
        <v>1215</v>
      </c>
      <c r="F13" s="51"/>
      <c r="G13" s="51" t="s">
        <v>75</v>
      </c>
      <c r="H13" s="51" t="s">
        <v>153</v>
      </c>
      <c r="I13" s="102" t="s">
        <v>132</v>
      </c>
      <c r="J13" s="53">
        <v>400.0</v>
      </c>
      <c r="K13" s="95">
        <v>2243.0</v>
      </c>
      <c r="L13" s="100">
        <f t="shared" si="2"/>
        <v>-4.6075</v>
      </c>
      <c r="M13" s="101"/>
    </row>
    <row r="14" ht="24.0" customHeight="1">
      <c r="A14" s="128" t="s">
        <v>1216</v>
      </c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5"/>
    </row>
    <row r="15" ht="21.75" customHeight="1">
      <c r="A15" s="129" t="s">
        <v>1217</v>
      </c>
      <c r="B15" s="74" t="s">
        <v>1218</v>
      </c>
      <c r="C15" s="57" t="s">
        <v>1219</v>
      </c>
      <c r="D15" s="57" t="s">
        <v>1220</v>
      </c>
      <c r="E15" s="57"/>
      <c r="F15" s="57"/>
      <c r="G15" s="57" t="s">
        <v>75</v>
      </c>
      <c r="H15" s="57" t="s">
        <v>153</v>
      </c>
      <c r="I15" s="102" t="s">
        <v>132</v>
      </c>
      <c r="J15" s="59">
        <v>943.4</v>
      </c>
      <c r="K15" s="95">
        <v>943.4</v>
      </c>
      <c r="L15" s="96">
        <f>IF(J15&gt;0,(J15-K15)/J15,"")</f>
        <v>0</v>
      </c>
      <c r="M15" s="97"/>
    </row>
    <row r="16" ht="24.0" customHeight="1">
      <c r="A16" s="128" t="s">
        <v>1221</v>
      </c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5"/>
    </row>
    <row r="17" ht="21.75" customHeight="1">
      <c r="A17" s="130" t="s">
        <v>1222</v>
      </c>
      <c r="B17" s="78" t="s">
        <v>1223</v>
      </c>
      <c r="C17" s="51"/>
      <c r="D17" s="51" t="s">
        <v>1224</v>
      </c>
      <c r="E17" s="51"/>
      <c r="F17" s="51"/>
      <c r="G17" s="51" t="s">
        <v>75</v>
      </c>
      <c r="H17" s="51" t="s">
        <v>153</v>
      </c>
      <c r="I17" s="102" t="s">
        <v>132</v>
      </c>
      <c r="J17" s="53">
        <v>62.99</v>
      </c>
      <c r="K17" s="95">
        <v>62.99</v>
      </c>
      <c r="L17" s="100">
        <f>IF(J17&gt;0,(J17-K17)/J17,"")</f>
        <v>0</v>
      </c>
      <c r="M17" s="101"/>
    </row>
    <row r="18" ht="24.0" customHeight="1">
      <c r="A18" s="128" t="s">
        <v>1225</v>
      </c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5"/>
    </row>
    <row r="19" ht="21.75" customHeight="1">
      <c r="A19" s="129" t="s">
        <v>1226</v>
      </c>
      <c r="B19" s="74" t="s">
        <v>1227</v>
      </c>
      <c r="C19" s="57" t="s">
        <v>1228</v>
      </c>
      <c r="D19" s="57" t="s">
        <v>1229</v>
      </c>
      <c r="E19" s="57" t="s">
        <v>1230</v>
      </c>
      <c r="F19" s="57"/>
      <c r="G19" s="57" t="s">
        <v>75</v>
      </c>
      <c r="H19" s="57" t="s">
        <v>153</v>
      </c>
      <c r="I19" s="102" t="s">
        <v>132</v>
      </c>
      <c r="J19" s="59">
        <v>2849.0</v>
      </c>
      <c r="K19" s="95">
        <v>3299.99</v>
      </c>
      <c r="L19" s="96">
        <f>IF(J19&gt;0,(J19-K19)/J19,"")</f>
        <v>-0.1582976483</v>
      </c>
      <c r="M19" s="97"/>
    </row>
    <row r="20">
      <c r="G20" s="56"/>
      <c r="H20" s="56"/>
      <c r="I20" s="56"/>
    </row>
    <row r="21" ht="25.5" customHeight="1">
      <c r="A21" s="103" t="s">
        <v>1231</v>
      </c>
      <c r="B21" s="104"/>
      <c r="C21" s="104"/>
      <c r="D21" s="104"/>
      <c r="E21" s="104"/>
      <c r="F21" s="105"/>
      <c r="G21" s="106"/>
      <c r="H21" s="106"/>
      <c r="I21" s="106"/>
      <c r="J21" s="107">
        <v>12690.0</v>
      </c>
      <c r="K21" s="106"/>
      <c r="L21" s="106"/>
      <c r="M21" s="106"/>
    </row>
    <row r="22" ht="15.75" customHeight="1">
      <c r="G22" s="56"/>
      <c r="H22" s="56"/>
      <c r="I22" s="56"/>
    </row>
    <row r="23" ht="18.0" customHeight="1">
      <c r="A23" s="32" t="s">
        <v>72</v>
      </c>
    </row>
    <row r="24" ht="15.75" customHeight="1">
      <c r="G24" s="56"/>
      <c r="H24" s="56"/>
      <c r="I24" s="56"/>
    </row>
    <row r="25" ht="15.75" customHeight="1">
      <c r="G25" s="56"/>
      <c r="H25" s="56"/>
      <c r="I25" s="56"/>
    </row>
    <row r="26" ht="15.75" customHeight="1">
      <c r="G26" s="56"/>
      <c r="H26" s="56"/>
      <c r="I26" s="56"/>
    </row>
    <row r="27" ht="15.75" customHeight="1">
      <c r="G27" s="56"/>
      <c r="H27" s="56"/>
      <c r="I27" s="56"/>
    </row>
    <row r="28" ht="15.75" customHeight="1">
      <c r="G28" s="56"/>
      <c r="H28" s="56"/>
      <c r="I28" s="56"/>
    </row>
    <row r="29" ht="15.75" customHeight="1">
      <c r="G29" s="56"/>
      <c r="H29" s="56"/>
      <c r="I29" s="56"/>
    </row>
    <row r="30" ht="15.75" customHeight="1">
      <c r="G30" s="56"/>
      <c r="H30" s="56"/>
      <c r="I30" s="56"/>
    </row>
    <row r="31" ht="15.75" customHeight="1">
      <c r="G31" s="56"/>
      <c r="H31" s="56"/>
      <c r="I31" s="56"/>
    </row>
    <row r="32" ht="15.75" customHeight="1">
      <c r="G32" s="56"/>
      <c r="H32" s="56"/>
      <c r="I32" s="56"/>
    </row>
    <row r="33" ht="15.75" customHeight="1">
      <c r="G33" s="56"/>
      <c r="H33" s="56"/>
      <c r="I33" s="56"/>
    </row>
    <row r="34" ht="15.75" customHeight="1">
      <c r="G34" s="56"/>
      <c r="H34" s="56"/>
      <c r="I34" s="56"/>
    </row>
    <row r="35" ht="15.75" customHeight="1">
      <c r="G35" s="56"/>
      <c r="H35" s="56"/>
      <c r="I35" s="56"/>
    </row>
    <row r="36" ht="15.75" customHeight="1">
      <c r="G36" s="56"/>
      <c r="H36" s="56"/>
      <c r="I36" s="56"/>
    </row>
    <row r="37" ht="15.75" customHeight="1">
      <c r="G37" s="56"/>
      <c r="H37" s="56"/>
      <c r="I37" s="56"/>
    </row>
    <row r="38" ht="15.75" customHeight="1">
      <c r="G38" s="56"/>
      <c r="H38" s="56"/>
      <c r="I38" s="56"/>
    </row>
    <row r="39" ht="15.75" customHeight="1">
      <c r="G39" s="56"/>
      <c r="H39" s="56"/>
      <c r="I39" s="56"/>
    </row>
    <row r="40" ht="15.75" customHeight="1">
      <c r="G40" s="56"/>
      <c r="H40" s="56"/>
      <c r="I40" s="56"/>
    </row>
    <row r="41" ht="15.75" customHeight="1">
      <c r="G41" s="56"/>
      <c r="H41" s="56"/>
      <c r="I41" s="56"/>
    </row>
    <row r="42" ht="15.75" customHeight="1">
      <c r="G42" s="56"/>
      <c r="H42" s="56"/>
      <c r="I42" s="56"/>
    </row>
    <row r="43" ht="15.75" customHeight="1">
      <c r="G43" s="56"/>
      <c r="H43" s="56"/>
      <c r="I43" s="56"/>
    </row>
    <row r="44" ht="15.75" customHeight="1">
      <c r="G44" s="56"/>
      <c r="H44" s="56"/>
      <c r="I44" s="56"/>
    </row>
    <row r="45" ht="15.75" customHeight="1">
      <c r="G45" s="56"/>
      <c r="H45" s="56"/>
      <c r="I45" s="56"/>
    </row>
    <row r="46" ht="15.75" customHeight="1">
      <c r="G46" s="56"/>
      <c r="H46" s="56"/>
      <c r="I46" s="56"/>
    </row>
    <row r="47" ht="15.75" customHeight="1">
      <c r="G47" s="56"/>
      <c r="H47" s="56"/>
      <c r="I47" s="56"/>
    </row>
    <row r="48" ht="15.75" customHeight="1">
      <c r="G48" s="56"/>
      <c r="H48" s="56"/>
      <c r="I48" s="56"/>
    </row>
    <row r="49" ht="15.75" customHeight="1">
      <c r="G49" s="56"/>
      <c r="H49" s="56"/>
      <c r="I49" s="56"/>
    </row>
    <row r="50" ht="15.75" customHeight="1">
      <c r="G50" s="56"/>
      <c r="H50" s="56"/>
      <c r="I50" s="56"/>
    </row>
    <row r="51" ht="15.75" customHeight="1">
      <c r="G51" s="56"/>
      <c r="H51" s="56"/>
      <c r="I51" s="56"/>
    </row>
    <row r="52" ht="15.75" customHeight="1">
      <c r="G52" s="56"/>
      <c r="H52" s="56"/>
      <c r="I52" s="56"/>
    </row>
    <row r="53" ht="15.75" customHeight="1">
      <c r="G53" s="56"/>
      <c r="H53" s="56"/>
      <c r="I53" s="56"/>
    </row>
    <row r="54" ht="15.75" customHeight="1">
      <c r="G54" s="56"/>
      <c r="H54" s="56"/>
      <c r="I54" s="56"/>
    </row>
    <row r="55" ht="15.75" customHeight="1">
      <c r="G55" s="56"/>
      <c r="H55" s="56"/>
      <c r="I55" s="56"/>
    </row>
    <row r="56" ht="15.75" customHeight="1">
      <c r="G56" s="56"/>
      <c r="H56" s="56"/>
      <c r="I56" s="56"/>
    </row>
    <row r="57" ht="15.75" customHeight="1">
      <c r="G57" s="56"/>
      <c r="H57" s="56"/>
      <c r="I57" s="56"/>
    </row>
    <row r="58" ht="15.75" customHeight="1">
      <c r="G58" s="56"/>
      <c r="H58" s="56"/>
      <c r="I58" s="56"/>
    </row>
    <row r="59" ht="15.75" customHeight="1">
      <c r="G59" s="56"/>
      <c r="H59" s="56"/>
      <c r="I59" s="56"/>
    </row>
    <row r="60" ht="15.75" customHeight="1">
      <c r="G60" s="56"/>
      <c r="H60" s="56"/>
      <c r="I60" s="56"/>
    </row>
    <row r="61" ht="15.75" customHeight="1">
      <c r="G61" s="56"/>
      <c r="H61" s="56"/>
      <c r="I61" s="56"/>
    </row>
    <row r="62" ht="15.75" customHeight="1">
      <c r="G62" s="56"/>
      <c r="H62" s="56"/>
      <c r="I62" s="56"/>
    </row>
    <row r="63" ht="15.75" customHeight="1">
      <c r="G63" s="56"/>
      <c r="H63" s="56"/>
      <c r="I63" s="56"/>
    </row>
    <row r="64" ht="15.75" customHeight="1">
      <c r="G64" s="56"/>
      <c r="H64" s="56"/>
      <c r="I64" s="56"/>
    </row>
    <row r="65" ht="15.75" customHeight="1">
      <c r="G65" s="56"/>
      <c r="H65" s="56"/>
      <c r="I65" s="56"/>
    </row>
    <row r="66" ht="15.75" customHeight="1">
      <c r="G66" s="56"/>
      <c r="H66" s="56"/>
      <c r="I66" s="56"/>
    </row>
    <row r="67" ht="15.75" customHeight="1">
      <c r="G67" s="56"/>
      <c r="H67" s="56"/>
      <c r="I67" s="56"/>
    </row>
    <row r="68" ht="15.75" customHeight="1">
      <c r="G68" s="56"/>
      <c r="H68" s="56"/>
      <c r="I68" s="56"/>
    </row>
    <row r="69" ht="15.75" customHeight="1">
      <c r="G69" s="56"/>
      <c r="H69" s="56"/>
      <c r="I69" s="56"/>
    </row>
    <row r="70" ht="15.75" customHeight="1">
      <c r="G70" s="56"/>
      <c r="H70" s="56"/>
      <c r="I70" s="56"/>
    </row>
    <row r="71" ht="15.75" customHeight="1">
      <c r="G71" s="56"/>
      <c r="H71" s="56"/>
      <c r="I71" s="56"/>
    </row>
    <row r="72" ht="15.75" customHeight="1">
      <c r="G72" s="56"/>
      <c r="H72" s="56"/>
      <c r="I72" s="56"/>
    </row>
    <row r="73" ht="15.75" customHeight="1">
      <c r="G73" s="56"/>
      <c r="H73" s="56"/>
      <c r="I73" s="56"/>
    </row>
    <row r="74" ht="15.75" customHeight="1">
      <c r="G74" s="56"/>
      <c r="H74" s="56"/>
      <c r="I74" s="56"/>
    </row>
    <row r="75" ht="15.75" customHeight="1">
      <c r="G75" s="56"/>
      <c r="H75" s="56"/>
      <c r="I75" s="56"/>
    </row>
    <row r="76" ht="15.75" customHeight="1">
      <c r="G76" s="56"/>
      <c r="H76" s="56"/>
      <c r="I76" s="56"/>
    </row>
    <row r="77" ht="15.75" customHeight="1">
      <c r="G77" s="56"/>
      <c r="H77" s="56"/>
      <c r="I77" s="56"/>
    </row>
    <row r="78" ht="15.75" customHeight="1">
      <c r="G78" s="56"/>
      <c r="H78" s="56"/>
      <c r="I78" s="56"/>
    </row>
    <row r="79" ht="15.75" customHeight="1">
      <c r="G79" s="56"/>
      <c r="H79" s="56"/>
      <c r="I79" s="56"/>
    </row>
    <row r="80" ht="15.75" customHeight="1">
      <c r="G80" s="56"/>
      <c r="H80" s="56"/>
      <c r="I80" s="56"/>
    </row>
    <row r="81" ht="15.75" customHeight="1">
      <c r="G81" s="56"/>
      <c r="H81" s="56"/>
      <c r="I81" s="56"/>
    </row>
    <row r="82" ht="15.75" customHeight="1">
      <c r="G82" s="56"/>
      <c r="H82" s="56"/>
      <c r="I82" s="56"/>
    </row>
    <row r="83" ht="15.75" customHeight="1">
      <c r="G83" s="56"/>
      <c r="H83" s="56"/>
      <c r="I83" s="56"/>
    </row>
    <row r="84" ht="15.75" customHeight="1">
      <c r="G84" s="56"/>
      <c r="H84" s="56"/>
      <c r="I84" s="56"/>
    </row>
    <row r="85" ht="15.75" customHeight="1">
      <c r="G85" s="56"/>
      <c r="H85" s="56"/>
      <c r="I85" s="56"/>
    </row>
    <row r="86" ht="15.75" customHeight="1">
      <c r="G86" s="56"/>
      <c r="H86" s="56"/>
      <c r="I86" s="56"/>
    </row>
    <row r="87" ht="15.75" customHeight="1">
      <c r="G87" s="56"/>
      <c r="H87" s="56"/>
      <c r="I87" s="56"/>
    </row>
    <row r="88" ht="15.75" customHeight="1">
      <c r="G88" s="56"/>
      <c r="H88" s="56"/>
      <c r="I88" s="56"/>
    </row>
    <row r="89" ht="15.75" customHeight="1">
      <c r="G89" s="56"/>
      <c r="H89" s="56"/>
      <c r="I89" s="56"/>
    </row>
    <row r="90" ht="15.75" customHeight="1">
      <c r="G90" s="56"/>
      <c r="H90" s="56"/>
      <c r="I90" s="56"/>
    </row>
    <row r="91" ht="15.75" customHeight="1">
      <c r="G91" s="56"/>
      <c r="H91" s="56"/>
      <c r="I91" s="56"/>
    </row>
    <row r="92" ht="15.75" customHeight="1">
      <c r="G92" s="56"/>
      <c r="H92" s="56"/>
      <c r="I92" s="56"/>
    </row>
    <row r="93" ht="15.75" customHeight="1">
      <c r="G93" s="56"/>
      <c r="H93" s="56"/>
      <c r="I93" s="56"/>
    </row>
    <row r="94" ht="15.75" customHeight="1">
      <c r="G94" s="56"/>
      <c r="H94" s="56"/>
      <c r="I94" s="56"/>
    </row>
    <row r="95" ht="15.75" customHeight="1">
      <c r="G95" s="56"/>
      <c r="H95" s="56"/>
      <c r="I95" s="56"/>
    </row>
    <row r="96" ht="15.75" customHeight="1">
      <c r="G96" s="56"/>
      <c r="H96" s="56"/>
      <c r="I96" s="56"/>
    </row>
    <row r="97" ht="15.75" customHeight="1">
      <c r="G97" s="56"/>
      <c r="H97" s="56"/>
      <c r="I97" s="56"/>
    </row>
    <row r="98" ht="15.75" customHeight="1">
      <c r="G98" s="56"/>
      <c r="H98" s="56"/>
      <c r="I98" s="56"/>
    </row>
    <row r="99" ht="15.75" customHeight="1">
      <c r="G99" s="56"/>
      <c r="H99" s="56"/>
      <c r="I99" s="56"/>
    </row>
    <row r="100" ht="15.75" customHeight="1">
      <c r="G100" s="56"/>
      <c r="H100" s="56"/>
      <c r="I100" s="56"/>
    </row>
    <row r="101" ht="15.75" customHeight="1">
      <c r="G101" s="56"/>
      <c r="H101" s="56"/>
      <c r="I101" s="56"/>
    </row>
    <row r="102" ht="15.75" customHeight="1">
      <c r="G102" s="56"/>
      <c r="H102" s="56"/>
      <c r="I102" s="56"/>
    </row>
    <row r="103" ht="15.75" customHeight="1">
      <c r="G103" s="56"/>
      <c r="H103" s="56"/>
      <c r="I103" s="56"/>
    </row>
    <row r="104" ht="15.75" customHeight="1">
      <c r="G104" s="56"/>
      <c r="H104" s="56"/>
      <c r="I104" s="56"/>
    </row>
    <row r="105" ht="15.75" customHeight="1">
      <c r="G105" s="56"/>
      <c r="H105" s="56"/>
      <c r="I105" s="56"/>
    </row>
    <row r="106" ht="15.75" customHeight="1">
      <c r="G106" s="56"/>
      <c r="H106" s="56"/>
      <c r="I106" s="56"/>
    </row>
    <row r="107" ht="15.75" customHeight="1">
      <c r="G107" s="56"/>
      <c r="H107" s="56"/>
      <c r="I107" s="56"/>
    </row>
    <row r="108" ht="15.75" customHeight="1">
      <c r="G108" s="56"/>
      <c r="H108" s="56"/>
      <c r="I108" s="56"/>
    </row>
    <row r="109" ht="15.75" customHeight="1">
      <c r="G109" s="56"/>
      <c r="H109" s="56"/>
      <c r="I109" s="56"/>
    </row>
    <row r="110" ht="15.75" customHeight="1">
      <c r="G110" s="56"/>
      <c r="H110" s="56"/>
      <c r="I110" s="56"/>
    </row>
    <row r="111" ht="15.75" customHeight="1">
      <c r="G111" s="56"/>
      <c r="H111" s="56"/>
      <c r="I111" s="56"/>
    </row>
    <row r="112" ht="15.75" customHeight="1">
      <c r="G112" s="56"/>
      <c r="H112" s="56"/>
      <c r="I112" s="56"/>
    </row>
    <row r="113" ht="15.75" customHeight="1">
      <c r="G113" s="56"/>
      <c r="H113" s="56"/>
      <c r="I113" s="56"/>
    </row>
    <row r="114" ht="15.75" customHeight="1">
      <c r="G114" s="56"/>
      <c r="H114" s="56"/>
      <c r="I114" s="56"/>
    </row>
    <row r="115" ht="15.75" customHeight="1">
      <c r="G115" s="56"/>
      <c r="H115" s="56"/>
      <c r="I115" s="56"/>
    </row>
    <row r="116" ht="15.75" customHeight="1">
      <c r="G116" s="56"/>
      <c r="H116" s="56"/>
      <c r="I116" s="56"/>
    </row>
    <row r="117" ht="15.75" customHeight="1">
      <c r="G117" s="56"/>
      <c r="H117" s="56"/>
      <c r="I117" s="56"/>
    </row>
    <row r="118" ht="15.75" customHeight="1">
      <c r="G118" s="56"/>
      <c r="H118" s="56"/>
      <c r="I118" s="56"/>
    </row>
    <row r="119" ht="15.75" customHeight="1">
      <c r="G119" s="56"/>
      <c r="H119" s="56"/>
      <c r="I119" s="56"/>
    </row>
    <row r="120" ht="15.75" customHeight="1">
      <c r="G120" s="56"/>
      <c r="H120" s="56"/>
      <c r="I120" s="56"/>
    </row>
    <row r="121" ht="15.75" customHeight="1">
      <c r="G121" s="56"/>
      <c r="H121" s="56"/>
      <c r="I121" s="56"/>
    </row>
    <row r="122" ht="15.75" customHeight="1">
      <c r="G122" s="56"/>
      <c r="H122" s="56"/>
      <c r="I122" s="56"/>
    </row>
    <row r="123" ht="15.75" customHeight="1">
      <c r="G123" s="56"/>
      <c r="H123" s="56"/>
      <c r="I123" s="56"/>
    </row>
    <row r="124" ht="15.75" customHeight="1">
      <c r="G124" s="56"/>
      <c r="H124" s="56"/>
      <c r="I124" s="56"/>
    </row>
    <row r="125" ht="15.75" customHeight="1">
      <c r="G125" s="56"/>
      <c r="H125" s="56"/>
      <c r="I125" s="56"/>
    </row>
    <row r="126" ht="15.75" customHeight="1">
      <c r="G126" s="56"/>
      <c r="H126" s="56"/>
      <c r="I126" s="56"/>
    </row>
    <row r="127" ht="15.75" customHeight="1">
      <c r="G127" s="56"/>
      <c r="H127" s="56"/>
      <c r="I127" s="56"/>
    </row>
    <row r="128" ht="15.75" customHeight="1">
      <c r="G128" s="56"/>
      <c r="H128" s="56"/>
      <c r="I128" s="56"/>
    </row>
    <row r="129" ht="15.75" customHeight="1">
      <c r="G129" s="56"/>
      <c r="H129" s="56"/>
      <c r="I129" s="56"/>
    </row>
    <row r="130" ht="15.75" customHeight="1">
      <c r="G130" s="56"/>
      <c r="H130" s="56"/>
      <c r="I130" s="56"/>
    </row>
    <row r="131" ht="15.75" customHeight="1">
      <c r="G131" s="56"/>
      <c r="H131" s="56"/>
      <c r="I131" s="56"/>
    </row>
    <row r="132" ht="15.75" customHeight="1">
      <c r="G132" s="56"/>
      <c r="H132" s="56"/>
      <c r="I132" s="56"/>
    </row>
    <row r="133" ht="15.75" customHeight="1">
      <c r="G133" s="56"/>
      <c r="H133" s="56"/>
      <c r="I133" s="56"/>
    </row>
    <row r="134" ht="15.75" customHeight="1">
      <c r="G134" s="56"/>
      <c r="H134" s="56"/>
      <c r="I134" s="56"/>
    </row>
    <row r="135" ht="15.75" customHeight="1">
      <c r="G135" s="56"/>
      <c r="H135" s="56"/>
      <c r="I135" s="56"/>
    </row>
    <row r="136" ht="15.75" customHeight="1">
      <c r="G136" s="56"/>
      <c r="H136" s="56"/>
      <c r="I136" s="56"/>
    </row>
    <row r="137" ht="15.75" customHeight="1">
      <c r="G137" s="56"/>
      <c r="H137" s="56"/>
      <c r="I137" s="56"/>
    </row>
    <row r="138" ht="15.75" customHeight="1">
      <c r="G138" s="56"/>
      <c r="H138" s="56"/>
      <c r="I138" s="56"/>
    </row>
    <row r="139" ht="15.75" customHeight="1">
      <c r="G139" s="56"/>
      <c r="H139" s="56"/>
      <c r="I139" s="56"/>
    </row>
    <row r="140" ht="15.75" customHeight="1">
      <c r="G140" s="56"/>
      <c r="H140" s="56"/>
      <c r="I140" s="56"/>
    </row>
    <row r="141" ht="15.75" customHeight="1">
      <c r="G141" s="56"/>
      <c r="H141" s="56"/>
      <c r="I141" s="56"/>
    </row>
    <row r="142" ht="15.75" customHeight="1">
      <c r="G142" s="56"/>
      <c r="H142" s="56"/>
      <c r="I142" s="56"/>
    </row>
    <row r="143" ht="15.75" customHeight="1">
      <c r="G143" s="56"/>
      <c r="H143" s="56"/>
      <c r="I143" s="56"/>
    </row>
    <row r="144" ht="15.75" customHeight="1">
      <c r="G144" s="56"/>
      <c r="H144" s="56"/>
      <c r="I144" s="56"/>
    </row>
    <row r="145" ht="15.75" customHeight="1">
      <c r="G145" s="56"/>
      <c r="H145" s="56"/>
      <c r="I145" s="56"/>
    </row>
    <row r="146" ht="15.75" customHeight="1">
      <c r="G146" s="56"/>
      <c r="H146" s="56"/>
      <c r="I146" s="56"/>
    </row>
    <row r="147" ht="15.75" customHeight="1">
      <c r="G147" s="56"/>
      <c r="H147" s="56"/>
      <c r="I147" s="56"/>
    </row>
    <row r="148" ht="15.75" customHeight="1">
      <c r="G148" s="56"/>
      <c r="H148" s="56"/>
      <c r="I148" s="56"/>
    </row>
    <row r="149" ht="15.75" customHeight="1">
      <c r="G149" s="56"/>
      <c r="H149" s="56"/>
      <c r="I149" s="56"/>
    </row>
    <row r="150" ht="15.75" customHeight="1">
      <c r="G150" s="56"/>
      <c r="H150" s="56"/>
      <c r="I150" s="56"/>
    </row>
    <row r="151" ht="15.75" customHeight="1">
      <c r="G151" s="56"/>
      <c r="H151" s="56"/>
      <c r="I151" s="56"/>
    </row>
    <row r="152" ht="15.75" customHeight="1">
      <c r="G152" s="56"/>
      <c r="H152" s="56"/>
      <c r="I152" s="56"/>
    </row>
    <row r="153" ht="15.75" customHeight="1">
      <c r="G153" s="56"/>
      <c r="H153" s="56"/>
      <c r="I153" s="56"/>
    </row>
    <row r="154" ht="15.75" customHeight="1">
      <c r="G154" s="56"/>
      <c r="H154" s="56"/>
      <c r="I154" s="56"/>
    </row>
    <row r="155" ht="15.75" customHeight="1">
      <c r="G155" s="56"/>
      <c r="H155" s="56"/>
      <c r="I155" s="56"/>
    </row>
    <row r="156" ht="15.75" customHeight="1">
      <c r="G156" s="56"/>
      <c r="H156" s="56"/>
      <c r="I156" s="56"/>
    </row>
    <row r="157" ht="15.75" customHeight="1">
      <c r="G157" s="56"/>
      <c r="H157" s="56"/>
      <c r="I157" s="56"/>
    </row>
    <row r="158" ht="15.75" customHeight="1">
      <c r="G158" s="56"/>
      <c r="H158" s="56"/>
      <c r="I158" s="56"/>
    </row>
    <row r="159" ht="15.75" customHeight="1">
      <c r="G159" s="56"/>
      <c r="H159" s="56"/>
      <c r="I159" s="56"/>
    </row>
    <row r="160" ht="15.75" customHeight="1">
      <c r="G160" s="56"/>
      <c r="H160" s="56"/>
      <c r="I160" s="56"/>
    </row>
    <row r="161" ht="15.75" customHeight="1">
      <c r="G161" s="56"/>
      <c r="H161" s="56"/>
      <c r="I161" s="56"/>
    </row>
    <row r="162" ht="15.75" customHeight="1">
      <c r="G162" s="56"/>
      <c r="H162" s="56"/>
      <c r="I162" s="56"/>
    </row>
    <row r="163" ht="15.75" customHeight="1">
      <c r="G163" s="56"/>
      <c r="H163" s="56"/>
      <c r="I163" s="56"/>
    </row>
    <row r="164" ht="15.75" customHeight="1">
      <c r="G164" s="56"/>
      <c r="H164" s="56"/>
      <c r="I164" s="56"/>
    </row>
    <row r="165" ht="15.75" customHeight="1">
      <c r="G165" s="56"/>
      <c r="H165" s="56"/>
      <c r="I165" s="56"/>
    </row>
    <row r="166" ht="15.75" customHeight="1">
      <c r="G166" s="56"/>
      <c r="H166" s="56"/>
      <c r="I166" s="56"/>
    </row>
    <row r="167" ht="15.75" customHeight="1">
      <c r="G167" s="56"/>
      <c r="H167" s="56"/>
      <c r="I167" s="56"/>
    </row>
    <row r="168" ht="15.75" customHeight="1">
      <c r="G168" s="56"/>
      <c r="H168" s="56"/>
      <c r="I168" s="56"/>
    </row>
    <row r="169" ht="15.75" customHeight="1">
      <c r="G169" s="56"/>
      <c r="H169" s="56"/>
      <c r="I169" s="56"/>
    </row>
    <row r="170" ht="15.75" customHeight="1">
      <c r="G170" s="56"/>
      <c r="H170" s="56"/>
      <c r="I170" s="56"/>
    </row>
    <row r="171" ht="15.75" customHeight="1">
      <c r="G171" s="56"/>
      <c r="H171" s="56"/>
      <c r="I171" s="56"/>
    </row>
    <row r="172" ht="15.75" customHeight="1">
      <c r="G172" s="56"/>
      <c r="H172" s="56"/>
      <c r="I172" s="56"/>
    </row>
    <row r="173" ht="15.75" customHeight="1">
      <c r="G173" s="56"/>
      <c r="H173" s="56"/>
      <c r="I173" s="56"/>
    </row>
    <row r="174" ht="15.75" customHeight="1">
      <c r="G174" s="56"/>
      <c r="H174" s="56"/>
      <c r="I174" s="56"/>
    </row>
    <row r="175" ht="15.75" customHeight="1">
      <c r="G175" s="56"/>
      <c r="H175" s="56"/>
      <c r="I175" s="56"/>
    </row>
    <row r="176" ht="15.75" customHeight="1">
      <c r="G176" s="56"/>
      <c r="H176" s="56"/>
      <c r="I176" s="56"/>
    </row>
    <row r="177" ht="15.75" customHeight="1">
      <c r="G177" s="56"/>
      <c r="H177" s="56"/>
      <c r="I177" s="56"/>
    </row>
    <row r="178" ht="15.75" customHeight="1">
      <c r="G178" s="56"/>
      <c r="H178" s="56"/>
      <c r="I178" s="56"/>
    </row>
    <row r="179" ht="15.75" customHeight="1">
      <c r="G179" s="56"/>
      <c r="H179" s="56"/>
      <c r="I179" s="56"/>
    </row>
    <row r="180" ht="15.75" customHeight="1">
      <c r="G180" s="56"/>
      <c r="H180" s="56"/>
      <c r="I180" s="56"/>
    </row>
    <row r="181" ht="15.75" customHeight="1">
      <c r="G181" s="56"/>
      <c r="H181" s="56"/>
      <c r="I181" s="56"/>
    </row>
    <row r="182" ht="15.75" customHeight="1">
      <c r="G182" s="56"/>
      <c r="H182" s="56"/>
      <c r="I182" s="56"/>
    </row>
    <row r="183" ht="15.75" customHeight="1">
      <c r="G183" s="56"/>
      <c r="H183" s="56"/>
      <c r="I183" s="56"/>
    </row>
    <row r="184" ht="15.75" customHeight="1">
      <c r="G184" s="56"/>
      <c r="H184" s="56"/>
      <c r="I184" s="56"/>
    </row>
    <row r="185" ht="15.75" customHeight="1">
      <c r="G185" s="56"/>
      <c r="H185" s="56"/>
      <c r="I185" s="56"/>
    </row>
    <row r="186" ht="15.75" customHeight="1">
      <c r="G186" s="56"/>
      <c r="H186" s="56"/>
      <c r="I186" s="56"/>
    </row>
    <row r="187" ht="15.75" customHeight="1">
      <c r="G187" s="56"/>
      <c r="H187" s="56"/>
      <c r="I187" s="56"/>
    </row>
    <row r="188" ht="15.75" customHeight="1">
      <c r="G188" s="56"/>
      <c r="H188" s="56"/>
      <c r="I188" s="56"/>
    </row>
    <row r="189" ht="15.75" customHeight="1">
      <c r="G189" s="56"/>
      <c r="H189" s="56"/>
      <c r="I189" s="56"/>
    </row>
    <row r="190" ht="15.75" customHeight="1">
      <c r="G190" s="56"/>
      <c r="H190" s="56"/>
      <c r="I190" s="56"/>
    </row>
    <row r="191" ht="15.75" customHeight="1">
      <c r="G191" s="56"/>
      <c r="H191" s="56"/>
      <c r="I191" s="56"/>
    </row>
    <row r="192" ht="15.75" customHeight="1">
      <c r="G192" s="56"/>
      <c r="H192" s="56"/>
      <c r="I192" s="56"/>
    </row>
    <row r="193" ht="15.75" customHeight="1">
      <c r="G193" s="56"/>
      <c r="H193" s="56"/>
      <c r="I193" s="56"/>
    </row>
    <row r="194" ht="15.75" customHeight="1">
      <c r="G194" s="56"/>
      <c r="H194" s="56"/>
      <c r="I194" s="56"/>
    </row>
    <row r="195" ht="15.75" customHeight="1">
      <c r="G195" s="56"/>
      <c r="H195" s="56"/>
      <c r="I195" s="56"/>
    </row>
    <row r="196" ht="15.75" customHeight="1">
      <c r="G196" s="56"/>
      <c r="H196" s="56"/>
      <c r="I196" s="56"/>
    </row>
    <row r="197" ht="15.75" customHeight="1">
      <c r="G197" s="56"/>
      <c r="H197" s="56"/>
      <c r="I197" s="56"/>
    </row>
    <row r="198" ht="15.75" customHeight="1">
      <c r="G198" s="56"/>
      <c r="H198" s="56"/>
      <c r="I198" s="56"/>
    </row>
    <row r="199" ht="15.75" customHeight="1">
      <c r="G199" s="56"/>
      <c r="H199" s="56"/>
      <c r="I199" s="56"/>
    </row>
    <row r="200" ht="15.75" customHeight="1">
      <c r="G200" s="56"/>
      <c r="H200" s="56"/>
      <c r="I200" s="56"/>
    </row>
    <row r="201" ht="15.75" customHeight="1">
      <c r="G201" s="56"/>
      <c r="H201" s="56"/>
      <c r="I201" s="56"/>
    </row>
    <row r="202" ht="15.75" customHeight="1">
      <c r="G202" s="56"/>
      <c r="H202" s="56"/>
      <c r="I202" s="56"/>
    </row>
    <row r="203" ht="15.75" customHeight="1">
      <c r="G203" s="56"/>
      <c r="H203" s="56"/>
      <c r="I203" s="56"/>
    </row>
    <row r="204" ht="15.75" customHeight="1">
      <c r="G204" s="56"/>
      <c r="H204" s="56"/>
      <c r="I204" s="56"/>
    </row>
    <row r="205" ht="15.75" customHeight="1">
      <c r="G205" s="56"/>
      <c r="H205" s="56"/>
      <c r="I205" s="56"/>
    </row>
    <row r="206" ht="15.75" customHeight="1">
      <c r="G206" s="56"/>
      <c r="H206" s="56"/>
      <c r="I206" s="56"/>
    </row>
    <row r="207" ht="15.75" customHeight="1">
      <c r="G207" s="56"/>
      <c r="H207" s="56"/>
      <c r="I207" s="56"/>
    </row>
    <row r="208" ht="15.75" customHeight="1">
      <c r="G208" s="56"/>
      <c r="H208" s="56"/>
      <c r="I208" s="56"/>
    </row>
    <row r="209" ht="15.75" customHeight="1">
      <c r="G209" s="56"/>
      <c r="H209" s="56"/>
      <c r="I209" s="56"/>
    </row>
    <row r="210" ht="15.75" customHeight="1">
      <c r="G210" s="56"/>
      <c r="H210" s="56"/>
      <c r="I210" s="56"/>
    </row>
    <row r="211" ht="15.75" customHeight="1">
      <c r="G211" s="56"/>
      <c r="H211" s="56"/>
      <c r="I211" s="56"/>
    </row>
    <row r="212" ht="15.75" customHeight="1">
      <c r="G212" s="56"/>
      <c r="H212" s="56"/>
      <c r="I212" s="56"/>
    </row>
    <row r="213" ht="15.75" customHeight="1">
      <c r="G213" s="56"/>
      <c r="H213" s="56"/>
      <c r="I213" s="56"/>
    </row>
    <row r="214" ht="15.75" customHeight="1">
      <c r="G214" s="56"/>
      <c r="H214" s="56"/>
      <c r="I214" s="56"/>
    </row>
    <row r="215" ht="15.75" customHeight="1">
      <c r="G215" s="56"/>
      <c r="H215" s="56"/>
      <c r="I215" s="56"/>
    </row>
    <row r="216" ht="15.75" customHeight="1">
      <c r="G216" s="56"/>
      <c r="H216" s="56"/>
      <c r="I216" s="56"/>
    </row>
    <row r="217" ht="15.75" customHeight="1">
      <c r="G217" s="56"/>
      <c r="H217" s="56"/>
      <c r="I217" s="56"/>
    </row>
    <row r="218" ht="15.75" customHeight="1">
      <c r="G218" s="56"/>
      <c r="H218" s="56"/>
      <c r="I218" s="56"/>
    </row>
    <row r="219" ht="15.75" customHeight="1">
      <c r="G219" s="56"/>
      <c r="H219" s="56"/>
      <c r="I219" s="56"/>
    </row>
    <row r="220" ht="15.75" customHeight="1">
      <c r="G220" s="56"/>
      <c r="H220" s="56"/>
      <c r="I220" s="56"/>
    </row>
    <row r="221" ht="15.75" customHeight="1">
      <c r="G221" s="56"/>
      <c r="H221" s="56"/>
      <c r="I221" s="56"/>
    </row>
    <row r="222" ht="15.75" customHeight="1">
      <c r="G222" s="56"/>
      <c r="H222" s="56"/>
      <c r="I222" s="56"/>
    </row>
    <row r="223" ht="15.75" customHeight="1">
      <c r="G223" s="56"/>
      <c r="H223" s="56"/>
      <c r="I223" s="56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4"/>
  <mergeCells count="10">
    <mergeCell ref="A18:M18"/>
    <mergeCell ref="A21:F21"/>
    <mergeCell ref="A23:M23"/>
    <mergeCell ref="A1:M1"/>
    <mergeCell ref="A2:M2"/>
    <mergeCell ref="A5:M5"/>
    <mergeCell ref="A7:M7"/>
    <mergeCell ref="A11:M11"/>
    <mergeCell ref="A14:M14"/>
    <mergeCell ref="A16:M16"/>
  </mergeCells>
  <conditionalFormatting sqref="G5:G1000">
    <cfRule type="cellIs" dxfId="0" priority="1" operator="equal">
      <formula>"DISPONIVEL"</formula>
    </cfRule>
  </conditionalFormatting>
  <conditionalFormatting sqref="G5:G1000">
    <cfRule type="cellIs" dxfId="1" priority="2" operator="equal">
      <formula>"PACKED"</formula>
    </cfRule>
  </conditionalFormatting>
  <conditionalFormatting sqref="G5:G1000">
    <cfRule type="cellIs" dxfId="2" priority="3" operator="equal">
      <formula>"EM_CAMPO"</formula>
    </cfRule>
  </conditionalFormatting>
  <conditionalFormatting sqref="G5:G1000">
    <cfRule type="cellIs" dxfId="3" priority="4" operator="equal">
      <formula>"MANUTENCAO"</formula>
    </cfRule>
  </conditionalFormatting>
  <conditionalFormatting sqref="G5:G1000">
    <cfRule type="cellIs" dxfId="4" priority="5" operator="equal">
      <formula>"EMPRESTADO"</formula>
    </cfRule>
  </conditionalFormatting>
  <conditionalFormatting sqref="G5:G1000">
    <cfRule type="cellIs" dxfId="5" priority="6" operator="equal">
      <formula>"VENDIDO"</formula>
    </cfRule>
  </conditionalFormatting>
  <conditionalFormatting sqref="G5:G1000">
    <cfRule type="cellIs" dxfId="5" priority="7" operator="equal">
      <formula>"BAIXA"</formula>
    </cfRule>
  </conditionalFormatting>
  <conditionalFormatting sqref="H5:H1000">
    <cfRule type="cellIs" dxfId="6" priority="8" operator="equal">
      <formula>"NOVO"</formula>
    </cfRule>
  </conditionalFormatting>
  <conditionalFormatting sqref="H5:H1000">
    <cfRule type="cellIs" dxfId="7" priority="9" operator="equal">
      <formula>"SEMI_NOVO"</formula>
    </cfRule>
  </conditionalFormatting>
  <conditionalFormatting sqref="H5:H1000">
    <cfRule type="cellIs" dxfId="8" priority="10" operator="equal">
      <formula>"USADO"</formula>
    </cfRule>
  </conditionalFormatting>
  <conditionalFormatting sqref="H5:H1000">
    <cfRule type="cellIs" dxfId="9" priority="11" operator="equal">
      <formula>"RECONDICIONADO"</formula>
    </cfRule>
  </conditionalFormatting>
  <conditionalFormatting sqref="I5:I1000">
    <cfRule type="expression" dxfId="10" priority="12">
      <formula>I5="★★★★★"</formula>
    </cfRule>
  </conditionalFormatting>
  <conditionalFormatting sqref="I5:I1000">
    <cfRule type="expression" dxfId="11" priority="13">
      <formula>I5="★★★★☆"</formula>
    </cfRule>
  </conditionalFormatting>
  <conditionalFormatting sqref="I5:I1000">
    <cfRule type="expression" dxfId="12" priority="14">
      <formula>I5="★★★☆☆"</formula>
    </cfRule>
  </conditionalFormatting>
  <conditionalFormatting sqref="I5:I1000">
    <cfRule type="expression" dxfId="13" priority="15">
      <formula>I5="★★☆☆☆"</formula>
    </cfRule>
  </conditionalFormatting>
  <conditionalFormatting sqref="I5:I1000">
    <cfRule type="expression" dxfId="14" priority="16">
      <formula>I5="★☆☆☆☆"</formula>
    </cfRule>
  </conditionalFormatting>
  <conditionalFormatting sqref="L5:L1000">
    <cfRule type="cellIs" dxfId="0" priority="17" operator="lessThan">
      <formula>0.2</formula>
    </cfRule>
  </conditionalFormatting>
  <conditionalFormatting sqref="L5:L1000">
    <cfRule type="cellIs" dxfId="2" priority="18" operator="between">
      <formula>0.2</formula>
      <formula>0.4</formula>
    </cfRule>
  </conditionalFormatting>
  <conditionalFormatting sqref="L5:L1000">
    <cfRule type="cellIs" dxfId="15" priority="19" operator="between">
      <formula>0.4</formula>
      <formula>0.6</formula>
    </cfRule>
  </conditionalFormatting>
  <conditionalFormatting sqref="L5:L1000">
    <cfRule type="cellIs" dxfId="16" priority="20" operator="greaterThanOrEqual">
      <formula>0.6</formula>
    </cfRule>
  </conditionalFormatting>
  <dataValidations>
    <dataValidation type="list" allowBlank="1" sqref="H6 H8:H10 H12:H13 H15 H17 H19:H22 H24:H223">
      <formula1>"NOVO,SEMI_NOVO,USADO,RECONDICIONADO"</formula1>
    </dataValidation>
    <dataValidation type="list" allowBlank="1" sqref="G6 G8:G10 G12:G13 G15 G17 G19:G22 G24:G223">
      <formula1>"DISPONIVEL,PACKED,EM_CAMPO,MANUTENCAO,EMPRESTADO,VENDIDO,BAIXA"</formula1>
    </dataValidation>
    <dataValidation type="list" allowBlank="1" sqref="I6 I8:I10 I12:I13 I15 I17 I19:I22 I24:I223">
      <formula1>"★☆☆☆☆,★★☆☆☆,★★★☆☆,★★★★☆,★★★★★"</formula1>
    </dataValidation>
  </dataValidations>
  <hyperlinks>
    <hyperlink r:id="rId1" ref="A6"/>
    <hyperlink r:id="rId2" ref="A8"/>
    <hyperlink r:id="rId3" ref="A9"/>
    <hyperlink r:id="rId4" ref="A10"/>
    <hyperlink r:id="rId5" ref="A12"/>
    <hyperlink r:id="rId6" ref="A13"/>
    <hyperlink r:id="rId7" ref="A15"/>
    <hyperlink r:id="rId8" ref="A17"/>
    <hyperlink r:id="rId9" ref="A19"/>
  </hyperlinks>
  <printOptions/>
  <pageMargins bottom="1.0" footer="0.0" header="0.0" left="0.75" right="0.75" top="1.0"/>
  <pageSetup orientation="landscape"/>
  <drawing r:id="rId10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7316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26" width="8.71"/>
  </cols>
  <sheetData>
    <row r="1" ht="37.5" customHeight="1">
      <c r="A1" s="131" t="s">
        <v>1232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5"/>
    </row>
    <row r="2" ht="21.75" customHeight="1">
      <c r="A2" s="90" t="s">
        <v>1233</v>
      </c>
    </row>
    <row r="3" ht="6.0" customHeight="1"/>
    <row r="4" ht="27.75" customHeight="1">
      <c r="A4" s="91" t="s">
        <v>140</v>
      </c>
      <c r="B4" s="91" t="s">
        <v>123</v>
      </c>
      <c r="C4" s="91" t="s">
        <v>141</v>
      </c>
      <c r="D4" s="91" t="s">
        <v>142</v>
      </c>
      <c r="E4" s="91" t="s">
        <v>143</v>
      </c>
      <c r="F4" s="91" t="s">
        <v>144</v>
      </c>
      <c r="G4" s="91" t="s">
        <v>118</v>
      </c>
      <c r="H4" s="91" t="s">
        <v>145</v>
      </c>
      <c r="I4" s="91" t="s">
        <v>125</v>
      </c>
      <c r="J4" s="91" t="s">
        <v>146</v>
      </c>
      <c r="K4" s="91" t="s">
        <v>91</v>
      </c>
      <c r="L4" s="91" t="s">
        <v>136</v>
      </c>
      <c r="M4" s="91" t="s">
        <v>147</v>
      </c>
    </row>
    <row r="5" ht="24.0" customHeight="1">
      <c r="A5" s="132" t="s">
        <v>679</v>
      </c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5"/>
    </row>
    <row r="6" ht="21.75" customHeight="1">
      <c r="A6" s="133" t="s">
        <v>1234</v>
      </c>
      <c r="B6" s="74" t="s">
        <v>1235</v>
      </c>
      <c r="C6" s="57" t="s">
        <v>649</v>
      </c>
      <c r="D6" s="57" t="s">
        <v>682</v>
      </c>
      <c r="E6" s="57" t="s">
        <v>1236</v>
      </c>
      <c r="F6" s="57"/>
      <c r="G6" s="57" t="s">
        <v>75</v>
      </c>
      <c r="H6" s="57" t="s">
        <v>153</v>
      </c>
      <c r="I6" s="102" t="s">
        <v>132</v>
      </c>
      <c r="J6" s="59">
        <v>2205.0</v>
      </c>
      <c r="K6" s="95">
        <v>3581.65</v>
      </c>
      <c r="L6" s="96">
        <f>IF(J6&gt;0,(J6-K6)/J6,"")</f>
        <v>-0.6243310658</v>
      </c>
      <c r="M6" s="97"/>
    </row>
    <row r="7" ht="24.0" customHeight="1">
      <c r="A7" s="132" t="s">
        <v>1237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5"/>
    </row>
    <row r="8" ht="21.75" customHeight="1">
      <c r="A8" s="134" t="s">
        <v>1238</v>
      </c>
      <c r="B8" s="78" t="s">
        <v>1239</v>
      </c>
      <c r="C8" s="51" t="s">
        <v>1240</v>
      </c>
      <c r="D8" s="51" t="s">
        <v>1241</v>
      </c>
      <c r="E8" s="51"/>
      <c r="F8" s="51"/>
      <c r="G8" s="51" t="s">
        <v>75</v>
      </c>
      <c r="H8" s="51" t="s">
        <v>153</v>
      </c>
      <c r="I8" s="102" t="s">
        <v>132</v>
      </c>
      <c r="J8" s="53">
        <v>950.0</v>
      </c>
      <c r="K8" s="95">
        <v>1282.99</v>
      </c>
      <c r="L8" s="100">
        <f>IF(J8&gt;0,(J8-K8)/J8,"")</f>
        <v>-0.3505157895</v>
      </c>
      <c r="M8" s="101"/>
    </row>
    <row r="9" ht="24.0" customHeight="1">
      <c r="A9" s="132" t="s">
        <v>1242</v>
      </c>
      <c r="B9" s="89"/>
      <c r="C9" s="89"/>
      <c r="D9" s="89"/>
      <c r="E9" s="89"/>
      <c r="F9" s="89"/>
      <c r="G9" s="89"/>
      <c r="H9" s="89"/>
      <c r="I9" s="89"/>
      <c r="J9" s="89"/>
      <c r="K9" s="89"/>
      <c r="L9" s="89"/>
      <c r="M9" s="5"/>
    </row>
    <row r="10" ht="21.75" customHeight="1">
      <c r="A10" s="133" t="s">
        <v>1243</v>
      </c>
      <c r="B10" s="74" t="s">
        <v>1244</v>
      </c>
      <c r="C10" s="57" t="s">
        <v>1245</v>
      </c>
      <c r="D10" s="57" t="s">
        <v>1246</v>
      </c>
      <c r="E10" s="57" t="s">
        <v>1247</v>
      </c>
      <c r="F10" s="57"/>
      <c r="G10" s="57" t="s">
        <v>75</v>
      </c>
      <c r="H10" s="57" t="s">
        <v>153</v>
      </c>
      <c r="I10" s="102" t="s">
        <v>132</v>
      </c>
      <c r="J10" s="59">
        <v>1499.0</v>
      </c>
      <c r="K10" s="95">
        <v>1375.98</v>
      </c>
      <c r="L10" s="96">
        <f t="shared" ref="L10:L12" si="1">IF(J10&gt;0,(J10-K10)/J10,"")</f>
        <v>0.08206804536</v>
      </c>
      <c r="M10" s="97"/>
    </row>
    <row r="11" ht="21.75" customHeight="1">
      <c r="A11" s="134" t="s">
        <v>1248</v>
      </c>
      <c r="B11" s="78" t="s">
        <v>1249</v>
      </c>
      <c r="C11" s="51" t="s">
        <v>1245</v>
      </c>
      <c r="D11" s="51" t="s">
        <v>1246</v>
      </c>
      <c r="E11" s="51" t="s">
        <v>1250</v>
      </c>
      <c r="F11" s="51"/>
      <c r="G11" s="51" t="s">
        <v>75</v>
      </c>
      <c r="H11" s="51" t="s">
        <v>153</v>
      </c>
      <c r="I11" s="102" t="s">
        <v>132</v>
      </c>
      <c r="J11" s="53">
        <v>1499.0</v>
      </c>
      <c r="K11" s="95">
        <v>1467.88</v>
      </c>
      <c r="L11" s="100">
        <f t="shared" si="1"/>
        <v>0.020760507</v>
      </c>
      <c r="M11" s="101"/>
    </row>
    <row r="12" ht="21.75" customHeight="1">
      <c r="A12" s="133" t="s">
        <v>1251</v>
      </c>
      <c r="B12" s="74" t="s">
        <v>1244</v>
      </c>
      <c r="C12" s="57" t="s">
        <v>1245</v>
      </c>
      <c r="D12" s="57" t="s">
        <v>1246</v>
      </c>
      <c r="E12" s="57" t="s">
        <v>1252</v>
      </c>
      <c r="F12" s="57"/>
      <c r="G12" s="57" t="s">
        <v>75</v>
      </c>
      <c r="H12" s="57" t="s">
        <v>153</v>
      </c>
      <c r="I12" s="102" t="s">
        <v>132</v>
      </c>
      <c r="J12" s="59">
        <v>1499.0</v>
      </c>
      <c r="K12" s="95">
        <v>1375.98</v>
      </c>
      <c r="L12" s="96">
        <f t="shared" si="1"/>
        <v>0.08206804536</v>
      </c>
      <c r="M12" s="97"/>
    </row>
    <row r="13" ht="24.0" customHeight="1">
      <c r="A13" s="132" t="s">
        <v>1253</v>
      </c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5"/>
    </row>
    <row r="14" ht="21.75" customHeight="1">
      <c r="A14" s="134" t="s">
        <v>1254</v>
      </c>
      <c r="B14" s="78" t="s">
        <v>1255</v>
      </c>
      <c r="C14" s="51" t="s">
        <v>1256</v>
      </c>
      <c r="D14" s="51" t="s">
        <v>787</v>
      </c>
      <c r="E14" s="51"/>
      <c r="F14" s="51"/>
      <c r="G14" s="51" t="s">
        <v>75</v>
      </c>
      <c r="H14" s="51" t="s">
        <v>153</v>
      </c>
      <c r="I14" s="102" t="s">
        <v>132</v>
      </c>
      <c r="J14" s="53">
        <v>1790.0</v>
      </c>
      <c r="K14" s="95">
        <v>2229.49</v>
      </c>
      <c r="L14" s="100">
        <f>IF(J14&gt;0,(J14-K14)/J14,"")</f>
        <v>-0.2455251397</v>
      </c>
      <c r="M14" s="101"/>
    </row>
    <row r="15" ht="24.0" customHeight="1">
      <c r="A15" s="132" t="s">
        <v>1257</v>
      </c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5"/>
    </row>
    <row r="16" ht="21.75" customHeight="1">
      <c r="A16" s="133" t="s">
        <v>1258</v>
      </c>
      <c r="B16" s="74" t="s">
        <v>1235</v>
      </c>
      <c r="C16" s="57" t="s">
        <v>649</v>
      </c>
      <c r="D16" s="57" t="s">
        <v>863</v>
      </c>
      <c r="E16" s="57" t="s">
        <v>1259</v>
      </c>
      <c r="F16" s="57"/>
      <c r="G16" s="57" t="s">
        <v>75</v>
      </c>
      <c r="H16" s="57" t="s">
        <v>153</v>
      </c>
      <c r="I16" s="102" t="s">
        <v>132</v>
      </c>
      <c r="J16" s="59">
        <v>2205.0</v>
      </c>
      <c r="K16" s="95">
        <v>3581.65</v>
      </c>
      <c r="L16" s="96">
        <f t="shared" ref="L16:L17" si="2">IF(J16&gt;0,(J16-K16)/J16,"")</f>
        <v>-0.6243310658</v>
      </c>
      <c r="M16" s="97"/>
    </row>
    <row r="17" ht="21.75" customHeight="1">
      <c r="A17" s="134" t="s">
        <v>1260</v>
      </c>
      <c r="B17" s="78" t="s">
        <v>1261</v>
      </c>
      <c r="C17" s="51" t="s">
        <v>649</v>
      </c>
      <c r="D17" s="51" t="s">
        <v>863</v>
      </c>
      <c r="E17" s="51" t="s">
        <v>1262</v>
      </c>
      <c r="F17" s="51"/>
      <c r="G17" s="51" t="s">
        <v>75</v>
      </c>
      <c r="H17" s="51" t="s">
        <v>153</v>
      </c>
      <c r="I17" s="102" t="s">
        <v>132</v>
      </c>
      <c r="J17" s="53">
        <v>2250.0</v>
      </c>
      <c r="K17" s="95">
        <v>2250.0</v>
      </c>
      <c r="L17" s="100">
        <f t="shared" si="2"/>
        <v>0</v>
      </c>
      <c r="M17" s="101"/>
    </row>
    <row r="18" ht="24.0" customHeight="1">
      <c r="A18" s="132" t="s">
        <v>1263</v>
      </c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5"/>
    </row>
    <row r="19" ht="21.75" customHeight="1">
      <c r="A19" s="133" t="s">
        <v>1264</v>
      </c>
      <c r="B19" s="74" t="s">
        <v>1265</v>
      </c>
      <c r="C19" s="57" t="s">
        <v>151</v>
      </c>
      <c r="D19" s="57" t="s">
        <v>1266</v>
      </c>
      <c r="E19" s="57"/>
      <c r="F19" s="57"/>
      <c r="G19" s="57" t="s">
        <v>75</v>
      </c>
      <c r="H19" s="57" t="s">
        <v>153</v>
      </c>
      <c r="I19" s="99" t="s">
        <v>81</v>
      </c>
      <c r="J19" s="59">
        <v>2770.0</v>
      </c>
      <c r="K19" s="95">
        <v>1845.0</v>
      </c>
      <c r="L19" s="96">
        <f t="shared" ref="L19:L22" si="3">IF(J19&gt;0,(J19-K19)/J19,"")</f>
        <v>0.3339350181</v>
      </c>
      <c r="M19" s="97"/>
    </row>
    <row r="20" ht="21.75" customHeight="1">
      <c r="A20" s="134" t="s">
        <v>1267</v>
      </c>
      <c r="B20" s="78" t="s">
        <v>150</v>
      </c>
      <c r="C20" s="51" t="s">
        <v>151</v>
      </c>
      <c r="D20" s="51" t="s">
        <v>1266</v>
      </c>
      <c r="E20" s="51"/>
      <c r="F20" s="51"/>
      <c r="G20" s="51" t="s">
        <v>75</v>
      </c>
      <c r="H20" s="51" t="s">
        <v>153</v>
      </c>
      <c r="I20" s="102" t="s">
        <v>132</v>
      </c>
      <c r="J20" s="53">
        <v>950.0</v>
      </c>
      <c r="K20" s="95">
        <v>1190.0</v>
      </c>
      <c r="L20" s="100">
        <f t="shared" si="3"/>
        <v>-0.2526315789</v>
      </c>
      <c r="M20" s="101"/>
    </row>
    <row r="21" ht="21.75" customHeight="1">
      <c r="A21" s="133" t="s">
        <v>1268</v>
      </c>
      <c r="B21" s="74" t="s">
        <v>162</v>
      </c>
      <c r="C21" s="57" t="s">
        <v>151</v>
      </c>
      <c r="D21" s="57" t="s">
        <v>1266</v>
      </c>
      <c r="E21" s="57"/>
      <c r="F21" s="57"/>
      <c r="G21" s="57" t="s">
        <v>75</v>
      </c>
      <c r="H21" s="57" t="s">
        <v>153</v>
      </c>
      <c r="I21" s="99" t="s">
        <v>81</v>
      </c>
      <c r="J21" s="59">
        <v>4590.0</v>
      </c>
      <c r="K21" s="95">
        <v>2500.0</v>
      </c>
      <c r="L21" s="96">
        <f t="shared" si="3"/>
        <v>0.4553376906</v>
      </c>
      <c r="M21" s="97"/>
    </row>
    <row r="22" ht="21.75" customHeight="1">
      <c r="A22" s="134" t="s">
        <v>1269</v>
      </c>
      <c r="B22" s="78" t="s">
        <v>162</v>
      </c>
      <c r="C22" s="51" t="s">
        <v>151</v>
      </c>
      <c r="D22" s="51" t="s">
        <v>1266</v>
      </c>
      <c r="E22" s="51"/>
      <c r="F22" s="51"/>
      <c r="G22" s="51" t="s">
        <v>75</v>
      </c>
      <c r="H22" s="51" t="s">
        <v>153</v>
      </c>
      <c r="I22" s="99" t="s">
        <v>81</v>
      </c>
      <c r="J22" s="53">
        <v>4590.0</v>
      </c>
      <c r="K22" s="95">
        <v>2500.0</v>
      </c>
      <c r="L22" s="100">
        <f t="shared" si="3"/>
        <v>0.4553376906</v>
      </c>
      <c r="M22" s="101"/>
    </row>
    <row r="23" ht="24.0" customHeight="1">
      <c r="A23" s="132" t="s">
        <v>1270</v>
      </c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5"/>
    </row>
    <row r="24" ht="21.75" customHeight="1">
      <c r="A24" s="133" t="s">
        <v>1271</v>
      </c>
      <c r="B24" s="74" t="s">
        <v>1272</v>
      </c>
      <c r="C24" s="57"/>
      <c r="D24" s="57" t="s">
        <v>1273</v>
      </c>
      <c r="E24" s="57"/>
      <c r="F24" s="57"/>
      <c r="G24" s="57" t="s">
        <v>75</v>
      </c>
      <c r="H24" s="57" t="s">
        <v>153</v>
      </c>
      <c r="I24" s="102" t="s">
        <v>132</v>
      </c>
      <c r="J24" s="59">
        <v>950.0</v>
      </c>
      <c r="K24" s="95">
        <v>1282.99</v>
      </c>
      <c r="L24" s="96">
        <f>IF(J24&gt;0,(J24-K24)/J24,"")</f>
        <v>-0.3505157895</v>
      </c>
      <c r="M24" s="97"/>
    </row>
    <row r="25" ht="24.0" customHeight="1">
      <c r="A25" s="132" t="s">
        <v>1274</v>
      </c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5"/>
    </row>
    <row r="26" ht="21.75" customHeight="1">
      <c r="A26" s="134" t="s">
        <v>1275</v>
      </c>
      <c r="B26" s="78" t="s">
        <v>511</v>
      </c>
      <c r="C26" s="51" t="s">
        <v>151</v>
      </c>
      <c r="D26" s="51" t="s">
        <v>1276</v>
      </c>
      <c r="E26" s="51"/>
      <c r="F26" s="51"/>
      <c r="G26" s="51" t="s">
        <v>75</v>
      </c>
      <c r="H26" s="51" t="s">
        <v>153</v>
      </c>
      <c r="I26" s="102" t="s">
        <v>132</v>
      </c>
      <c r="J26" s="53">
        <v>640.0</v>
      </c>
      <c r="K26" s="95">
        <v>640.0</v>
      </c>
      <c r="L26" s="100">
        <f>IF(J26&gt;0,(J26-K26)/J26,"")</f>
        <v>0</v>
      </c>
      <c r="M26" s="101"/>
    </row>
    <row r="27" ht="24.0" customHeight="1">
      <c r="A27" s="132" t="s">
        <v>1277</v>
      </c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5"/>
    </row>
    <row r="28" ht="21.75" customHeight="1">
      <c r="A28" s="133" t="s">
        <v>1278</v>
      </c>
      <c r="B28" s="74" t="s">
        <v>1279</v>
      </c>
      <c r="C28" s="57" t="s">
        <v>1280</v>
      </c>
      <c r="D28" s="57" t="s">
        <v>1281</v>
      </c>
      <c r="E28" s="57" t="s">
        <v>1282</v>
      </c>
      <c r="F28" s="57"/>
      <c r="G28" s="57" t="s">
        <v>75</v>
      </c>
      <c r="H28" s="57" t="s">
        <v>153</v>
      </c>
      <c r="I28" s="102" t="s">
        <v>132</v>
      </c>
      <c r="J28" s="59">
        <v>950.0</v>
      </c>
      <c r="K28" s="95">
        <v>1282.99</v>
      </c>
      <c r="L28" s="96">
        <f>IF(J28&gt;0,(J28-K28)/J28,"")</f>
        <v>-0.3505157895</v>
      </c>
      <c r="M28" s="97"/>
    </row>
    <row r="29" ht="24.0" customHeight="1">
      <c r="A29" s="132" t="s">
        <v>1283</v>
      </c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5"/>
    </row>
    <row r="30" ht="21.75" customHeight="1">
      <c r="A30" s="134" t="s">
        <v>1284</v>
      </c>
      <c r="B30" s="78" t="s">
        <v>1285</v>
      </c>
      <c r="C30" s="51" t="s">
        <v>1286</v>
      </c>
      <c r="D30" s="51" t="s">
        <v>1287</v>
      </c>
      <c r="E30" s="51"/>
      <c r="F30" s="51"/>
      <c r="G30" s="51" t="s">
        <v>75</v>
      </c>
      <c r="H30" s="51" t="s">
        <v>153</v>
      </c>
      <c r="I30" s="102" t="s">
        <v>132</v>
      </c>
      <c r="J30" s="53">
        <v>950.0</v>
      </c>
      <c r="K30" s="95">
        <v>1282.99</v>
      </c>
      <c r="L30" s="100">
        <f>IF(J30&gt;0,(J30-K30)/J30,"")</f>
        <v>-0.3505157895</v>
      </c>
      <c r="M30" s="101"/>
    </row>
    <row r="31" ht="24.0" customHeight="1">
      <c r="A31" s="132" t="s">
        <v>1288</v>
      </c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5"/>
    </row>
    <row r="32" ht="21.75" customHeight="1">
      <c r="A32" s="133" t="s">
        <v>1289</v>
      </c>
      <c r="B32" s="74" t="s">
        <v>1290</v>
      </c>
      <c r="C32" s="57" t="s">
        <v>1291</v>
      </c>
      <c r="D32" s="57" t="s">
        <v>1292</v>
      </c>
      <c r="E32" s="57" t="s">
        <v>1293</v>
      </c>
      <c r="F32" s="57"/>
      <c r="G32" s="57" t="s">
        <v>75</v>
      </c>
      <c r="H32" s="57" t="s">
        <v>153</v>
      </c>
      <c r="I32" s="102" t="s">
        <v>132</v>
      </c>
      <c r="J32" s="59">
        <v>950.0</v>
      </c>
      <c r="K32" s="95">
        <v>1282.99</v>
      </c>
      <c r="L32" s="96">
        <f>IF(J32&gt;0,(J32-K32)/J32,"")</f>
        <v>-0.3505157895</v>
      </c>
      <c r="M32" s="97"/>
    </row>
    <row r="33" ht="24.0" customHeight="1">
      <c r="A33" s="132" t="s">
        <v>1294</v>
      </c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5"/>
    </row>
    <row r="34" ht="21.75" customHeight="1">
      <c r="A34" s="134" t="s">
        <v>1295</v>
      </c>
      <c r="B34" s="78" t="s">
        <v>1296</v>
      </c>
      <c r="C34" s="51" t="s">
        <v>151</v>
      </c>
      <c r="D34" s="51" t="s">
        <v>1297</v>
      </c>
      <c r="E34" s="51"/>
      <c r="F34" s="51"/>
      <c r="G34" s="51" t="s">
        <v>75</v>
      </c>
      <c r="H34" s="51" t="s">
        <v>153</v>
      </c>
      <c r="I34" s="102" t="s">
        <v>132</v>
      </c>
      <c r="J34" s="53">
        <v>640.0</v>
      </c>
      <c r="K34" s="95">
        <v>640.0</v>
      </c>
      <c r="L34" s="100">
        <f t="shared" ref="L34:L36" si="4">IF(J34&gt;0,(J34-K34)/J34,"")</f>
        <v>0</v>
      </c>
      <c r="M34" s="101"/>
    </row>
    <row r="35" ht="21.75" customHeight="1">
      <c r="A35" s="133" t="s">
        <v>1298</v>
      </c>
      <c r="B35" s="74" t="s">
        <v>1296</v>
      </c>
      <c r="C35" s="57" t="s">
        <v>151</v>
      </c>
      <c r="D35" s="57" t="s">
        <v>1297</v>
      </c>
      <c r="E35" s="57"/>
      <c r="F35" s="57"/>
      <c r="G35" s="57" t="s">
        <v>75</v>
      </c>
      <c r="H35" s="57" t="s">
        <v>153</v>
      </c>
      <c r="I35" s="102" t="s">
        <v>132</v>
      </c>
      <c r="J35" s="59">
        <v>640.0</v>
      </c>
      <c r="K35" s="95">
        <v>640.0</v>
      </c>
      <c r="L35" s="96">
        <f t="shared" si="4"/>
        <v>0</v>
      </c>
      <c r="M35" s="97"/>
    </row>
    <row r="36" ht="21.75" customHeight="1">
      <c r="A36" s="134" t="s">
        <v>1299</v>
      </c>
      <c r="B36" s="78" t="s">
        <v>1296</v>
      </c>
      <c r="C36" s="51" t="s">
        <v>151</v>
      </c>
      <c r="D36" s="51" t="s">
        <v>1297</v>
      </c>
      <c r="E36" s="51"/>
      <c r="F36" s="51"/>
      <c r="G36" s="51" t="s">
        <v>75</v>
      </c>
      <c r="H36" s="51" t="s">
        <v>153</v>
      </c>
      <c r="I36" s="102" t="s">
        <v>132</v>
      </c>
      <c r="J36" s="53">
        <v>640.0</v>
      </c>
      <c r="K36" s="95">
        <v>640.0</v>
      </c>
      <c r="L36" s="100">
        <f t="shared" si="4"/>
        <v>0</v>
      </c>
      <c r="M36" s="101"/>
    </row>
    <row r="37" ht="24.0" customHeight="1">
      <c r="A37" s="132" t="s">
        <v>1300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5"/>
    </row>
    <row r="38" ht="21.75" customHeight="1">
      <c r="A38" s="133" t="s">
        <v>1301</v>
      </c>
      <c r="B38" s="74" t="s">
        <v>1302</v>
      </c>
      <c r="C38" s="57" t="s">
        <v>1202</v>
      </c>
      <c r="D38" s="57" t="s">
        <v>1303</v>
      </c>
      <c r="E38" s="57"/>
      <c r="F38" s="57"/>
      <c r="G38" s="57" t="s">
        <v>75</v>
      </c>
      <c r="H38" s="57" t="s">
        <v>153</v>
      </c>
      <c r="I38" s="102" t="s">
        <v>132</v>
      </c>
      <c r="J38" s="59">
        <v>249.0</v>
      </c>
      <c r="K38" s="95">
        <v>289.98</v>
      </c>
      <c r="L38" s="96">
        <f t="shared" ref="L38:L40" si="5">IF(J38&gt;0,(J38-K38)/J38,"")</f>
        <v>-0.1645783133</v>
      </c>
      <c r="M38" s="97"/>
    </row>
    <row r="39" ht="21.75" customHeight="1">
      <c r="A39" s="134" t="s">
        <v>1304</v>
      </c>
      <c r="B39" s="78" t="s">
        <v>1305</v>
      </c>
      <c r="C39" s="51" t="s">
        <v>1306</v>
      </c>
      <c r="D39" s="51" t="s">
        <v>1303</v>
      </c>
      <c r="E39" s="51" t="s">
        <v>1307</v>
      </c>
      <c r="F39" s="51"/>
      <c r="G39" s="51" t="s">
        <v>75</v>
      </c>
      <c r="H39" s="51" t="s">
        <v>153</v>
      </c>
      <c r="I39" s="102" t="s">
        <v>132</v>
      </c>
      <c r="J39" s="53">
        <v>70.2</v>
      </c>
      <c r="K39" s="95">
        <v>70.2</v>
      </c>
      <c r="L39" s="100">
        <f t="shared" si="5"/>
        <v>0</v>
      </c>
      <c r="M39" s="101"/>
    </row>
    <row r="40" ht="21.75" customHeight="1">
      <c r="A40" s="133" t="s">
        <v>1308</v>
      </c>
      <c r="B40" s="74" t="s">
        <v>1309</v>
      </c>
      <c r="C40" s="57" t="s">
        <v>1310</v>
      </c>
      <c r="D40" s="57" t="s">
        <v>1303</v>
      </c>
      <c r="E40" s="57" t="s">
        <v>1311</v>
      </c>
      <c r="F40" s="57"/>
      <c r="G40" s="57" t="s">
        <v>75</v>
      </c>
      <c r="H40" s="57" t="s">
        <v>153</v>
      </c>
      <c r="I40" s="102" t="s">
        <v>132</v>
      </c>
      <c r="J40" s="59">
        <v>79.33</v>
      </c>
      <c r="K40" s="95">
        <v>66.2</v>
      </c>
      <c r="L40" s="96">
        <f t="shared" si="5"/>
        <v>0.1655111559</v>
      </c>
      <c r="M40" s="97"/>
    </row>
    <row r="41" ht="24.0" customHeight="1">
      <c r="A41" s="132" t="s">
        <v>1312</v>
      </c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5"/>
    </row>
    <row r="42" ht="36.0" customHeight="1">
      <c r="A42" s="134" t="s">
        <v>1313</v>
      </c>
      <c r="B42" s="78" t="s">
        <v>1314</v>
      </c>
      <c r="C42" s="51" t="s">
        <v>609</v>
      </c>
      <c r="D42" s="51" t="s">
        <v>1315</v>
      </c>
      <c r="E42" s="51" t="s">
        <v>1316</v>
      </c>
      <c r="F42" s="51"/>
      <c r="G42" s="51" t="s">
        <v>75</v>
      </c>
      <c r="H42" s="51" t="s">
        <v>153</v>
      </c>
      <c r="I42" s="102" t="s">
        <v>132</v>
      </c>
      <c r="J42" s="53">
        <v>494.88</v>
      </c>
      <c r="K42" s="95">
        <v>350.0</v>
      </c>
      <c r="L42" s="100">
        <f>IF(J42&gt;0,(J42-K42)/J42,"")</f>
        <v>0.2927578403</v>
      </c>
      <c r="M42" s="101" t="s">
        <v>1317</v>
      </c>
    </row>
    <row r="43" ht="15.75" customHeight="1">
      <c r="G43" s="56"/>
      <c r="H43" s="56"/>
      <c r="I43" s="56"/>
    </row>
    <row r="44" ht="25.5" customHeight="1">
      <c r="A44" s="103" t="s">
        <v>1318</v>
      </c>
      <c r="B44" s="104"/>
      <c r="C44" s="104"/>
      <c r="D44" s="104"/>
      <c r="E44" s="104"/>
      <c r="F44" s="105"/>
      <c r="G44" s="106"/>
      <c r="H44" s="106"/>
      <c r="I44" s="106"/>
      <c r="J44" s="107">
        <v>49951.32</v>
      </c>
      <c r="K44" s="106"/>
      <c r="L44" s="106"/>
      <c r="M44" s="106"/>
    </row>
    <row r="45" ht="15.75" customHeight="1">
      <c r="G45" s="56"/>
      <c r="H45" s="56"/>
      <c r="I45" s="56"/>
    </row>
    <row r="46" ht="18.0" customHeight="1">
      <c r="A46" s="32" t="s">
        <v>72</v>
      </c>
    </row>
    <row r="47" ht="15.75" customHeight="1">
      <c r="G47" s="56"/>
      <c r="H47" s="56"/>
      <c r="I47" s="56"/>
    </row>
    <row r="48" ht="15.75" customHeight="1">
      <c r="G48" s="56"/>
      <c r="H48" s="56"/>
      <c r="I48" s="56"/>
    </row>
    <row r="49" ht="15.75" customHeight="1">
      <c r="G49" s="56"/>
      <c r="H49" s="56"/>
      <c r="I49" s="56"/>
    </row>
    <row r="50" ht="15.75" customHeight="1">
      <c r="G50" s="56"/>
      <c r="H50" s="56"/>
      <c r="I50" s="56"/>
    </row>
    <row r="51" ht="15.75" customHeight="1">
      <c r="G51" s="56"/>
      <c r="H51" s="56"/>
      <c r="I51" s="56"/>
    </row>
    <row r="52" ht="15.75" customHeight="1">
      <c r="G52" s="56"/>
      <c r="H52" s="56"/>
      <c r="I52" s="56"/>
    </row>
    <row r="53" ht="15.75" customHeight="1">
      <c r="G53" s="56"/>
      <c r="H53" s="56"/>
      <c r="I53" s="56"/>
    </row>
    <row r="54" ht="15.75" customHeight="1">
      <c r="G54" s="56"/>
      <c r="H54" s="56"/>
      <c r="I54" s="56"/>
    </row>
    <row r="55" ht="15.75" customHeight="1">
      <c r="G55" s="56"/>
      <c r="H55" s="56"/>
      <c r="I55" s="56"/>
    </row>
    <row r="56" ht="15.75" customHeight="1">
      <c r="G56" s="56"/>
      <c r="H56" s="56"/>
      <c r="I56" s="56"/>
    </row>
    <row r="57" ht="15.75" customHeight="1">
      <c r="G57" s="56"/>
      <c r="H57" s="56"/>
      <c r="I57" s="56"/>
    </row>
    <row r="58" ht="15.75" customHeight="1">
      <c r="G58" s="56"/>
      <c r="H58" s="56"/>
      <c r="I58" s="56"/>
    </row>
    <row r="59" ht="15.75" customHeight="1">
      <c r="G59" s="56"/>
      <c r="H59" s="56"/>
      <c r="I59" s="56"/>
    </row>
    <row r="60" ht="15.75" customHeight="1">
      <c r="G60" s="56"/>
      <c r="H60" s="56"/>
      <c r="I60" s="56"/>
    </row>
    <row r="61" ht="15.75" customHeight="1">
      <c r="G61" s="56"/>
      <c r="H61" s="56"/>
      <c r="I61" s="56"/>
    </row>
    <row r="62" ht="15.75" customHeight="1">
      <c r="G62" s="56"/>
      <c r="H62" s="56"/>
      <c r="I62" s="56"/>
    </row>
    <row r="63" ht="15.75" customHeight="1">
      <c r="G63" s="56"/>
      <c r="H63" s="56"/>
      <c r="I63" s="56"/>
    </row>
    <row r="64" ht="15.75" customHeight="1">
      <c r="G64" s="56"/>
      <c r="H64" s="56"/>
      <c r="I64" s="56"/>
    </row>
    <row r="65" ht="15.75" customHeight="1">
      <c r="G65" s="56"/>
      <c r="H65" s="56"/>
      <c r="I65" s="56"/>
    </row>
    <row r="66" ht="15.75" customHeight="1">
      <c r="G66" s="56"/>
      <c r="H66" s="56"/>
      <c r="I66" s="56"/>
    </row>
    <row r="67" ht="15.75" customHeight="1">
      <c r="G67" s="56"/>
      <c r="H67" s="56"/>
      <c r="I67" s="56"/>
    </row>
    <row r="68" ht="15.75" customHeight="1">
      <c r="G68" s="56"/>
      <c r="H68" s="56"/>
      <c r="I68" s="56"/>
    </row>
    <row r="69" ht="15.75" customHeight="1">
      <c r="G69" s="56"/>
      <c r="H69" s="56"/>
      <c r="I69" s="56"/>
    </row>
    <row r="70" ht="15.75" customHeight="1">
      <c r="G70" s="56"/>
      <c r="H70" s="56"/>
      <c r="I70" s="56"/>
    </row>
    <row r="71" ht="15.75" customHeight="1">
      <c r="G71" s="56"/>
      <c r="H71" s="56"/>
      <c r="I71" s="56"/>
    </row>
    <row r="72" ht="15.75" customHeight="1">
      <c r="G72" s="56"/>
      <c r="H72" s="56"/>
      <c r="I72" s="56"/>
    </row>
    <row r="73" ht="15.75" customHeight="1">
      <c r="G73" s="56"/>
      <c r="H73" s="56"/>
      <c r="I73" s="56"/>
    </row>
    <row r="74" ht="15.75" customHeight="1">
      <c r="G74" s="56"/>
      <c r="H74" s="56"/>
      <c r="I74" s="56"/>
    </row>
    <row r="75" ht="15.75" customHeight="1">
      <c r="G75" s="56"/>
      <c r="H75" s="56"/>
      <c r="I75" s="56"/>
    </row>
    <row r="76" ht="15.75" customHeight="1">
      <c r="G76" s="56"/>
      <c r="H76" s="56"/>
      <c r="I76" s="56"/>
    </row>
    <row r="77" ht="15.75" customHeight="1">
      <c r="G77" s="56"/>
      <c r="H77" s="56"/>
      <c r="I77" s="56"/>
    </row>
    <row r="78" ht="15.75" customHeight="1">
      <c r="G78" s="56"/>
      <c r="H78" s="56"/>
      <c r="I78" s="56"/>
    </row>
    <row r="79" ht="15.75" customHeight="1">
      <c r="G79" s="56"/>
      <c r="H79" s="56"/>
      <c r="I79" s="56"/>
    </row>
    <row r="80" ht="15.75" customHeight="1">
      <c r="G80" s="56"/>
      <c r="H80" s="56"/>
      <c r="I80" s="56"/>
    </row>
    <row r="81" ht="15.75" customHeight="1">
      <c r="G81" s="56"/>
      <c r="H81" s="56"/>
      <c r="I81" s="56"/>
    </row>
    <row r="82" ht="15.75" customHeight="1">
      <c r="G82" s="56"/>
      <c r="H82" s="56"/>
      <c r="I82" s="56"/>
    </row>
    <row r="83" ht="15.75" customHeight="1">
      <c r="G83" s="56"/>
      <c r="H83" s="56"/>
      <c r="I83" s="56"/>
    </row>
    <row r="84" ht="15.75" customHeight="1">
      <c r="G84" s="56"/>
      <c r="H84" s="56"/>
      <c r="I84" s="56"/>
    </row>
    <row r="85" ht="15.75" customHeight="1">
      <c r="G85" s="56"/>
      <c r="H85" s="56"/>
      <c r="I85" s="56"/>
    </row>
    <row r="86" ht="15.75" customHeight="1">
      <c r="G86" s="56"/>
      <c r="H86" s="56"/>
      <c r="I86" s="56"/>
    </row>
    <row r="87" ht="15.75" customHeight="1">
      <c r="G87" s="56"/>
      <c r="H87" s="56"/>
      <c r="I87" s="56"/>
    </row>
    <row r="88" ht="15.75" customHeight="1">
      <c r="G88" s="56"/>
      <c r="H88" s="56"/>
      <c r="I88" s="56"/>
    </row>
    <row r="89" ht="15.75" customHeight="1">
      <c r="G89" s="56"/>
      <c r="H89" s="56"/>
      <c r="I89" s="56"/>
    </row>
    <row r="90" ht="15.75" customHeight="1">
      <c r="G90" s="56"/>
      <c r="H90" s="56"/>
      <c r="I90" s="56"/>
    </row>
    <row r="91" ht="15.75" customHeight="1">
      <c r="G91" s="56"/>
      <c r="H91" s="56"/>
      <c r="I91" s="56"/>
    </row>
    <row r="92" ht="15.75" customHeight="1">
      <c r="G92" s="56"/>
      <c r="H92" s="56"/>
      <c r="I92" s="56"/>
    </row>
    <row r="93" ht="15.75" customHeight="1">
      <c r="G93" s="56"/>
      <c r="H93" s="56"/>
      <c r="I93" s="56"/>
    </row>
    <row r="94" ht="15.75" customHeight="1">
      <c r="G94" s="56"/>
      <c r="H94" s="56"/>
      <c r="I94" s="56"/>
    </row>
    <row r="95" ht="15.75" customHeight="1">
      <c r="G95" s="56"/>
      <c r="H95" s="56"/>
      <c r="I95" s="56"/>
    </row>
    <row r="96" ht="15.75" customHeight="1">
      <c r="G96" s="56"/>
      <c r="H96" s="56"/>
      <c r="I96" s="56"/>
    </row>
    <row r="97" ht="15.75" customHeight="1">
      <c r="G97" s="56"/>
      <c r="H97" s="56"/>
      <c r="I97" s="56"/>
    </row>
    <row r="98" ht="15.75" customHeight="1">
      <c r="G98" s="56"/>
      <c r="H98" s="56"/>
      <c r="I98" s="56"/>
    </row>
    <row r="99" ht="15.75" customHeight="1">
      <c r="G99" s="56"/>
      <c r="H99" s="56"/>
      <c r="I99" s="56"/>
    </row>
    <row r="100" ht="15.75" customHeight="1">
      <c r="G100" s="56"/>
      <c r="H100" s="56"/>
      <c r="I100" s="56"/>
    </row>
    <row r="101" ht="15.75" customHeight="1">
      <c r="G101" s="56"/>
      <c r="H101" s="56"/>
      <c r="I101" s="56"/>
    </row>
    <row r="102" ht="15.75" customHeight="1">
      <c r="G102" s="56"/>
      <c r="H102" s="56"/>
      <c r="I102" s="56"/>
    </row>
    <row r="103" ht="15.75" customHeight="1">
      <c r="G103" s="56"/>
      <c r="H103" s="56"/>
      <c r="I103" s="56"/>
    </row>
    <row r="104" ht="15.75" customHeight="1">
      <c r="G104" s="56"/>
      <c r="H104" s="56"/>
      <c r="I104" s="56"/>
    </row>
    <row r="105" ht="15.75" customHeight="1">
      <c r="G105" s="56"/>
      <c r="H105" s="56"/>
      <c r="I105" s="56"/>
    </row>
    <row r="106" ht="15.75" customHeight="1">
      <c r="G106" s="56"/>
      <c r="H106" s="56"/>
      <c r="I106" s="56"/>
    </row>
    <row r="107" ht="15.75" customHeight="1">
      <c r="G107" s="56"/>
      <c r="H107" s="56"/>
      <c r="I107" s="56"/>
    </row>
    <row r="108" ht="15.75" customHeight="1">
      <c r="G108" s="56"/>
      <c r="H108" s="56"/>
      <c r="I108" s="56"/>
    </row>
    <row r="109" ht="15.75" customHeight="1">
      <c r="G109" s="56"/>
      <c r="H109" s="56"/>
      <c r="I109" s="56"/>
    </row>
    <row r="110" ht="15.75" customHeight="1">
      <c r="G110" s="56"/>
      <c r="H110" s="56"/>
      <c r="I110" s="56"/>
    </row>
    <row r="111" ht="15.75" customHeight="1">
      <c r="G111" s="56"/>
      <c r="H111" s="56"/>
      <c r="I111" s="56"/>
    </row>
    <row r="112" ht="15.75" customHeight="1">
      <c r="G112" s="56"/>
      <c r="H112" s="56"/>
      <c r="I112" s="56"/>
    </row>
    <row r="113" ht="15.75" customHeight="1">
      <c r="G113" s="56"/>
      <c r="H113" s="56"/>
      <c r="I113" s="56"/>
    </row>
    <row r="114" ht="15.75" customHeight="1">
      <c r="G114" s="56"/>
      <c r="H114" s="56"/>
      <c r="I114" s="56"/>
    </row>
    <row r="115" ht="15.75" customHeight="1">
      <c r="G115" s="56"/>
      <c r="H115" s="56"/>
      <c r="I115" s="56"/>
    </row>
    <row r="116" ht="15.75" customHeight="1">
      <c r="G116" s="56"/>
      <c r="H116" s="56"/>
      <c r="I116" s="56"/>
    </row>
    <row r="117" ht="15.75" customHeight="1">
      <c r="G117" s="56"/>
      <c r="H117" s="56"/>
      <c r="I117" s="56"/>
    </row>
    <row r="118" ht="15.75" customHeight="1">
      <c r="G118" s="56"/>
      <c r="H118" s="56"/>
      <c r="I118" s="56"/>
    </row>
    <row r="119" ht="15.75" customHeight="1">
      <c r="G119" s="56"/>
      <c r="H119" s="56"/>
      <c r="I119" s="56"/>
    </row>
    <row r="120" ht="15.75" customHeight="1">
      <c r="G120" s="56"/>
      <c r="H120" s="56"/>
      <c r="I120" s="56"/>
    </row>
    <row r="121" ht="15.75" customHeight="1">
      <c r="G121" s="56"/>
      <c r="H121" s="56"/>
      <c r="I121" s="56"/>
    </row>
    <row r="122" ht="15.75" customHeight="1">
      <c r="G122" s="56"/>
      <c r="H122" s="56"/>
      <c r="I122" s="56"/>
    </row>
    <row r="123" ht="15.75" customHeight="1">
      <c r="G123" s="56"/>
      <c r="H123" s="56"/>
      <c r="I123" s="56"/>
    </row>
    <row r="124" ht="15.75" customHeight="1">
      <c r="G124" s="56"/>
      <c r="H124" s="56"/>
      <c r="I124" s="56"/>
    </row>
    <row r="125" ht="15.75" customHeight="1">
      <c r="G125" s="56"/>
      <c r="H125" s="56"/>
      <c r="I125" s="56"/>
    </row>
    <row r="126" ht="15.75" customHeight="1">
      <c r="G126" s="56"/>
      <c r="H126" s="56"/>
      <c r="I126" s="56"/>
    </row>
    <row r="127" ht="15.75" customHeight="1">
      <c r="G127" s="56"/>
      <c r="H127" s="56"/>
      <c r="I127" s="56"/>
    </row>
    <row r="128" ht="15.75" customHeight="1">
      <c r="G128" s="56"/>
      <c r="H128" s="56"/>
      <c r="I128" s="56"/>
    </row>
    <row r="129" ht="15.75" customHeight="1">
      <c r="G129" s="56"/>
      <c r="H129" s="56"/>
      <c r="I129" s="56"/>
    </row>
    <row r="130" ht="15.75" customHeight="1">
      <c r="G130" s="56"/>
      <c r="H130" s="56"/>
      <c r="I130" s="56"/>
    </row>
    <row r="131" ht="15.75" customHeight="1">
      <c r="G131" s="56"/>
      <c r="H131" s="56"/>
      <c r="I131" s="56"/>
    </row>
    <row r="132" ht="15.75" customHeight="1">
      <c r="G132" s="56"/>
      <c r="H132" s="56"/>
      <c r="I132" s="56"/>
    </row>
    <row r="133" ht="15.75" customHeight="1">
      <c r="G133" s="56"/>
      <c r="H133" s="56"/>
      <c r="I133" s="56"/>
    </row>
    <row r="134" ht="15.75" customHeight="1">
      <c r="G134" s="56"/>
      <c r="H134" s="56"/>
      <c r="I134" s="56"/>
    </row>
    <row r="135" ht="15.75" customHeight="1">
      <c r="G135" s="56"/>
      <c r="H135" s="56"/>
      <c r="I135" s="56"/>
    </row>
    <row r="136" ht="15.75" customHeight="1">
      <c r="G136" s="56"/>
      <c r="H136" s="56"/>
      <c r="I136" s="56"/>
    </row>
    <row r="137" ht="15.75" customHeight="1">
      <c r="G137" s="56"/>
      <c r="H137" s="56"/>
      <c r="I137" s="56"/>
    </row>
    <row r="138" ht="15.75" customHeight="1">
      <c r="G138" s="56"/>
      <c r="H138" s="56"/>
      <c r="I138" s="56"/>
    </row>
    <row r="139" ht="15.75" customHeight="1">
      <c r="G139" s="56"/>
      <c r="H139" s="56"/>
      <c r="I139" s="56"/>
    </row>
    <row r="140" ht="15.75" customHeight="1">
      <c r="G140" s="56"/>
      <c r="H140" s="56"/>
      <c r="I140" s="56"/>
    </row>
    <row r="141" ht="15.75" customHeight="1">
      <c r="G141" s="56"/>
      <c r="H141" s="56"/>
      <c r="I141" s="56"/>
    </row>
    <row r="142" ht="15.75" customHeight="1">
      <c r="G142" s="56"/>
      <c r="H142" s="56"/>
      <c r="I142" s="56"/>
    </row>
    <row r="143" ht="15.75" customHeight="1">
      <c r="G143" s="56"/>
      <c r="H143" s="56"/>
      <c r="I143" s="56"/>
    </row>
    <row r="144" ht="15.75" customHeight="1">
      <c r="G144" s="56"/>
      <c r="H144" s="56"/>
      <c r="I144" s="56"/>
    </row>
    <row r="145" ht="15.75" customHeight="1">
      <c r="G145" s="56"/>
      <c r="H145" s="56"/>
      <c r="I145" s="56"/>
    </row>
    <row r="146" ht="15.75" customHeight="1">
      <c r="G146" s="56"/>
      <c r="H146" s="56"/>
      <c r="I146" s="56"/>
    </row>
    <row r="147" ht="15.75" customHeight="1">
      <c r="G147" s="56"/>
      <c r="H147" s="56"/>
      <c r="I147" s="56"/>
    </row>
    <row r="148" ht="15.75" customHeight="1">
      <c r="G148" s="56"/>
      <c r="H148" s="56"/>
      <c r="I148" s="56"/>
    </row>
    <row r="149" ht="15.75" customHeight="1">
      <c r="G149" s="56"/>
      <c r="H149" s="56"/>
      <c r="I149" s="56"/>
    </row>
    <row r="150" ht="15.75" customHeight="1">
      <c r="G150" s="56"/>
      <c r="H150" s="56"/>
      <c r="I150" s="56"/>
    </row>
    <row r="151" ht="15.75" customHeight="1">
      <c r="G151" s="56"/>
      <c r="H151" s="56"/>
      <c r="I151" s="56"/>
    </row>
    <row r="152" ht="15.75" customHeight="1">
      <c r="G152" s="56"/>
      <c r="H152" s="56"/>
      <c r="I152" s="56"/>
    </row>
    <row r="153" ht="15.75" customHeight="1">
      <c r="G153" s="56"/>
      <c r="H153" s="56"/>
      <c r="I153" s="56"/>
    </row>
    <row r="154" ht="15.75" customHeight="1">
      <c r="G154" s="56"/>
      <c r="H154" s="56"/>
      <c r="I154" s="56"/>
    </row>
    <row r="155" ht="15.75" customHeight="1">
      <c r="G155" s="56"/>
      <c r="H155" s="56"/>
      <c r="I155" s="56"/>
    </row>
    <row r="156" ht="15.75" customHeight="1">
      <c r="G156" s="56"/>
      <c r="H156" s="56"/>
      <c r="I156" s="56"/>
    </row>
    <row r="157" ht="15.75" customHeight="1">
      <c r="G157" s="56"/>
      <c r="H157" s="56"/>
      <c r="I157" s="56"/>
    </row>
    <row r="158" ht="15.75" customHeight="1">
      <c r="G158" s="56"/>
      <c r="H158" s="56"/>
      <c r="I158" s="56"/>
    </row>
    <row r="159" ht="15.75" customHeight="1">
      <c r="G159" s="56"/>
      <c r="H159" s="56"/>
      <c r="I159" s="56"/>
    </row>
    <row r="160" ht="15.75" customHeight="1">
      <c r="G160" s="56"/>
      <c r="H160" s="56"/>
      <c r="I160" s="56"/>
    </row>
    <row r="161" ht="15.75" customHeight="1">
      <c r="G161" s="56"/>
      <c r="H161" s="56"/>
      <c r="I161" s="56"/>
    </row>
    <row r="162" ht="15.75" customHeight="1">
      <c r="G162" s="56"/>
      <c r="H162" s="56"/>
      <c r="I162" s="56"/>
    </row>
    <row r="163" ht="15.75" customHeight="1">
      <c r="G163" s="56"/>
      <c r="H163" s="56"/>
      <c r="I163" s="56"/>
    </row>
    <row r="164" ht="15.75" customHeight="1">
      <c r="G164" s="56"/>
      <c r="H164" s="56"/>
      <c r="I164" s="56"/>
    </row>
    <row r="165" ht="15.75" customHeight="1">
      <c r="G165" s="56"/>
      <c r="H165" s="56"/>
      <c r="I165" s="56"/>
    </row>
    <row r="166" ht="15.75" customHeight="1">
      <c r="G166" s="56"/>
      <c r="H166" s="56"/>
      <c r="I166" s="56"/>
    </row>
    <row r="167" ht="15.75" customHeight="1">
      <c r="G167" s="56"/>
      <c r="H167" s="56"/>
      <c r="I167" s="56"/>
    </row>
    <row r="168" ht="15.75" customHeight="1">
      <c r="G168" s="56"/>
      <c r="H168" s="56"/>
      <c r="I168" s="56"/>
    </row>
    <row r="169" ht="15.75" customHeight="1">
      <c r="G169" s="56"/>
      <c r="H169" s="56"/>
      <c r="I169" s="56"/>
    </row>
    <row r="170" ht="15.75" customHeight="1">
      <c r="G170" s="56"/>
      <c r="H170" s="56"/>
      <c r="I170" s="56"/>
    </row>
    <row r="171" ht="15.75" customHeight="1">
      <c r="G171" s="56"/>
      <c r="H171" s="56"/>
      <c r="I171" s="56"/>
    </row>
    <row r="172" ht="15.75" customHeight="1">
      <c r="G172" s="56"/>
      <c r="H172" s="56"/>
      <c r="I172" s="56"/>
    </row>
    <row r="173" ht="15.75" customHeight="1">
      <c r="G173" s="56"/>
      <c r="H173" s="56"/>
      <c r="I173" s="56"/>
    </row>
    <row r="174" ht="15.75" customHeight="1">
      <c r="G174" s="56"/>
      <c r="H174" s="56"/>
      <c r="I174" s="56"/>
    </row>
    <row r="175" ht="15.75" customHeight="1">
      <c r="G175" s="56"/>
      <c r="H175" s="56"/>
      <c r="I175" s="56"/>
    </row>
    <row r="176" ht="15.75" customHeight="1">
      <c r="G176" s="56"/>
      <c r="H176" s="56"/>
      <c r="I176" s="56"/>
    </row>
    <row r="177" ht="15.75" customHeight="1">
      <c r="G177" s="56"/>
      <c r="H177" s="56"/>
      <c r="I177" s="56"/>
    </row>
    <row r="178" ht="15.75" customHeight="1">
      <c r="G178" s="56"/>
      <c r="H178" s="56"/>
      <c r="I178" s="56"/>
    </row>
    <row r="179" ht="15.75" customHeight="1">
      <c r="G179" s="56"/>
      <c r="H179" s="56"/>
      <c r="I179" s="56"/>
    </row>
    <row r="180" ht="15.75" customHeight="1">
      <c r="G180" s="56"/>
      <c r="H180" s="56"/>
      <c r="I180" s="56"/>
    </row>
    <row r="181" ht="15.75" customHeight="1">
      <c r="G181" s="56"/>
      <c r="H181" s="56"/>
      <c r="I181" s="56"/>
    </row>
    <row r="182" ht="15.75" customHeight="1">
      <c r="G182" s="56"/>
      <c r="H182" s="56"/>
      <c r="I182" s="56"/>
    </row>
    <row r="183" ht="15.75" customHeight="1">
      <c r="G183" s="56"/>
      <c r="H183" s="56"/>
      <c r="I183" s="56"/>
    </row>
    <row r="184" ht="15.75" customHeight="1">
      <c r="G184" s="56"/>
      <c r="H184" s="56"/>
      <c r="I184" s="56"/>
    </row>
    <row r="185" ht="15.75" customHeight="1">
      <c r="G185" s="56"/>
      <c r="H185" s="56"/>
      <c r="I185" s="56"/>
    </row>
    <row r="186" ht="15.75" customHeight="1">
      <c r="G186" s="56"/>
      <c r="H186" s="56"/>
      <c r="I186" s="56"/>
    </row>
    <row r="187" ht="15.75" customHeight="1">
      <c r="G187" s="56"/>
      <c r="H187" s="56"/>
      <c r="I187" s="56"/>
    </row>
    <row r="188" ht="15.75" customHeight="1">
      <c r="G188" s="56"/>
      <c r="H188" s="56"/>
      <c r="I188" s="56"/>
    </row>
    <row r="189" ht="15.75" customHeight="1">
      <c r="G189" s="56"/>
      <c r="H189" s="56"/>
      <c r="I189" s="56"/>
    </row>
    <row r="190" ht="15.75" customHeight="1">
      <c r="G190" s="56"/>
      <c r="H190" s="56"/>
      <c r="I190" s="56"/>
    </row>
    <row r="191" ht="15.75" customHeight="1">
      <c r="G191" s="56"/>
      <c r="H191" s="56"/>
      <c r="I191" s="56"/>
    </row>
    <row r="192" ht="15.75" customHeight="1">
      <c r="G192" s="56"/>
      <c r="H192" s="56"/>
      <c r="I192" s="56"/>
    </row>
    <row r="193" ht="15.75" customHeight="1">
      <c r="G193" s="56"/>
      <c r="H193" s="56"/>
      <c r="I193" s="56"/>
    </row>
    <row r="194" ht="15.75" customHeight="1">
      <c r="G194" s="56"/>
      <c r="H194" s="56"/>
      <c r="I194" s="56"/>
    </row>
    <row r="195" ht="15.75" customHeight="1">
      <c r="G195" s="56"/>
      <c r="H195" s="56"/>
      <c r="I195" s="56"/>
    </row>
    <row r="196" ht="15.75" customHeight="1">
      <c r="G196" s="56"/>
      <c r="H196" s="56"/>
      <c r="I196" s="56"/>
    </row>
    <row r="197" ht="15.75" customHeight="1">
      <c r="G197" s="56"/>
      <c r="H197" s="56"/>
      <c r="I197" s="56"/>
    </row>
    <row r="198" ht="15.75" customHeight="1">
      <c r="G198" s="56"/>
      <c r="H198" s="56"/>
      <c r="I198" s="56"/>
    </row>
    <row r="199" ht="15.75" customHeight="1">
      <c r="G199" s="56"/>
      <c r="H199" s="56"/>
      <c r="I199" s="56"/>
    </row>
    <row r="200" ht="15.75" customHeight="1">
      <c r="G200" s="56"/>
      <c r="H200" s="56"/>
      <c r="I200" s="56"/>
    </row>
    <row r="201" ht="15.75" customHeight="1">
      <c r="G201" s="56"/>
      <c r="H201" s="56"/>
      <c r="I201" s="56"/>
    </row>
    <row r="202" ht="15.75" customHeight="1">
      <c r="G202" s="56"/>
      <c r="H202" s="56"/>
      <c r="I202" s="56"/>
    </row>
    <row r="203" ht="15.75" customHeight="1">
      <c r="G203" s="56"/>
      <c r="H203" s="56"/>
      <c r="I203" s="56"/>
    </row>
    <row r="204" ht="15.75" customHeight="1">
      <c r="G204" s="56"/>
      <c r="H204" s="56"/>
      <c r="I204" s="56"/>
    </row>
    <row r="205" ht="15.75" customHeight="1">
      <c r="G205" s="56"/>
      <c r="H205" s="56"/>
      <c r="I205" s="56"/>
    </row>
    <row r="206" ht="15.75" customHeight="1">
      <c r="G206" s="56"/>
      <c r="H206" s="56"/>
      <c r="I206" s="56"/>
    </row>
    <row r="207" ht="15.75" customHeight="1">
      <c r="G207" s="56"/>
      <c r="H207" s="56"/>
      <c r="I207" s="56"/>
    </row>
    <row r="208" ht="15.75" customHeight="1">
      <c r="G208" s="56"/>
      <c r="H208" s="56"/>
      <c r="I208" s="56"/>
    </row>
    <row r="209" ht="15.75" customHeight="1">
      <c r="G209" s="56"/>
      <c r="H209" s="56"/>
      <c r="I209" s="56"/>
    </row>
    <row r="210" ht="15.75" customHeight="1">
      <c r="G210" s="56"/>
      <c r="H210" s="56"/>
      <c r="I210" s="56"/>
    </row>
    <row r="211" ht="15.75" customHeight="1">
      <c r="G211" s="56"/>
      <c r="H211" s="56"/>
      <c r="I211" s="56"/>
    </row>
    <row r="212" ht="15.75" customHeight="1">
      <c r="G212" s="56"/>
      <c r="H212" s="56"/>
      <c r="I212" s="56"/>
    </row>
    <row r="213" ht="15.75" customHeight="1">
      <c r="G213" s="56"/>
      <c r="H213" s="56"/>
      <c r="I213" s="56"/>
    </row>
    <row r="214" ht="15.75" customHeight="1">
      <c r="G214" s="56"/>
      <c r="H214" s="56"/>
      <c r="I214" s="56"/>
    </row>
    <row r="215" ht="15.75" customHeight="1">
      <c r="G215" s="56"/>
      <c r="H215" s="56"/>
      <c r="I215" s="56"/>
    </row>
    <row r="216" ht="15.75" customHeight="1">
      <c r="G216" s="56"/>
      <c r="H216" s="56"/>
      <c r="I216" s="56"/>
    </row>
    <row r="217" ht="15.75" customHeight="1">
      <c r="G217" s="56"/>
      <c r="H217" s="56"/>
      <c r="I217" s="56"/>
    </row>
    <row r="218" ht="15.75" customHeight="1">
      <c r="G218" s="56"/>
      <c r="H218" s="56"/>
      <c r="I218" s="56"/>
    </row>
    <row r="219" ht="15.75" customHeight="1">
      <c r="G219" s="56"/>
      <c r="H219" s="56"/>
      <c r="I219" s="56"/>
    </row>
    <row r="220" ht="15.75" customHeight="1">
      <c r="G220" s="56"/>
      <c r="H220" s="56"/>
      <c r="I220" s="56"/>
    </row>
    <row r="221" ht="15.75" customHeight="1">
      <c r="G221" s="56"/>
      <c r="H221" s="56"/>
      <c r="I221" s="56"/>
    </row>
    <row r="222" ht="15.75" customHeight="1">
      <c r="G222" s="56"/>
      <c r="H222" s="56"/>
      <c r="I222" s="56"/>
    </row>
    <row r="223" ht="15.75" customHeight="1">
      <c r="G223" s="56"/>
      <c r="H223" s="56"/>
      <c r="I223" s="56"/>
    </row>
    <row r="224" ht="15.75" customHeight="1">
      <c r="G224" s="56"/>
      <c r="H224" s="56"/>
      <c r="I224" s="56"/>
    </row>
    <row r="225" ht="15.75" customHeight="1">
      <c r="G225" s="56"/>
      <c r="H225" s="56"/>
      <c r="I225" s="56"/>
    </row>
    <row r="226" ht="15.75" customHeight="1">
      <c r="G226" s="56"/>
      <c r="H226" s="56"/>
      <c r="I226" s="56"/>
    </row>
    <row r="227" ht="15.75" customHeight="1">
      <c r="G227" s="56"/>
      <c r="H227" s="56"/>
      <c r="I227" s="56"/>
    </row>
    <row r="228" ht="15.75" customHeight="1">
      <c r="G228" s="56"/>
      <c r="H228" s="56"/>
      <c r="I228" s="56"/>
    </row>
    <row r="229" ht="15.75" customHeight="1">
      <c r="G229" s="56"/>
      <c r="H229" s="56"/>
      <c r="I229" s="56"/>
    </row>
    <row r="230" ht="15.75" customHeight="1">
      <c r="G230" s="56"/>
      <c r="H230" s="56"/>
      <c r="I230" s="56"/>
    </row>
    <row r="231" ht="15.75" customHeight="1">
      <c r="G231" s="56"/>
      <c r="H231" s="56"/>
      <c r="I231" s="56"/>
    </row>
    <row r="232" ht="15.75" customHeight="1">
      <c r="G232" s="56"/>
      <c r="H232" s="56"/>
      <c r="I232" s="56"/>
    </row>
    <row r="233" ht="15.75" customHeight="1">
      <c r="G233" s="56"/>
      <c r="H233" s="56"/>
      <c r="I233" s="56"/>
    </row>
    <row r="234" ht="15.75" customHeight="1">
      <c r="G234" s="56"/>
      <c r="H234" s="56"/>
      <c r="I234" s="56"/>
    </row>
    <row r="235" ht="15.75" customHeight="1">
      <c r="G235" s="56"/>
      <c r="H235" s="56"/>
      <c r="I235" s="56"/>
    </row>
    <row r="236" ht="15.75" customHeight="1">
      <c r="G236" s="56"/>
      <c r="H236" s="56"/>
      <c r="I236" s="56"/>
    </row>
    <row r="237" ht="15.75" customHeight="1">
      <c r="G237" s="56"/>
      <c r="H237" s="56"/>
      <c r="I237" s="56"/>
    </row>
    <row r="238" ht="15.75" customHeight="1">
      <c r="G238" s="56"/>
      <c r="H238" s="56"/>
      <c r="I238" s="56"/>
    </row>
    <row r="239" ht="15.75" customHeight="1">
      <c r="G239" s="56"/>
      <c r="H239" s="56"/>
      <c r="I239" s="56"/>
    </row>
    <row r="240" ht="15.75" customHeight="1">
      <c r="G240" s="56"/>
      <c r="H240" s="56"/>
      <c r="I240" s="56"/>
    </row>
    <row r="241" ht="15.75" customHeight="1">
      <c r="G241" s="56"/>
      <c r="H241" s="56"/>
      <c r="I241" s="56"/>
    </row>
    <row r="242" ht="15.75" customHeight="1">
      <c r="G242" s="56"/>
      <c r="H242" s="56"/>
      <c r="I242" s="56"/>
    </row>
    <row r="243" ht="15.75" customHeight="1">
      <c r="G243" s="56"/>
      <c r="H243" s="56"/>
      <c r="I243" s="56"/>
    </row>
    <row r="244" ht="15.75" customHeight="1">
      <c r="G244" s="56"/>
      <c r="H244" s="56"/>
      <c r="I244" s="56"/>
    </row>
    <row r="245" ht="15.75" customHeight="1">
      <c r="G245" s="56"/>
      <c r="H245" s="56"/>
      <c r="I245" s="56"/>
    </row>
    <row r="246" ht="15.75" customHeight="1">
      <c r="G246" s="56"/>
      <c r="H246" s="56"/>
      <c r="I246" s="56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4"/>
  <mergeCells count="18">
    <mergeCell ref="A1:M1"/>
    <mergeCell ref="A2:M2"/>
    <mergeCell ref="A5:M5"/>
    <mergeCell ref="A7:M7"/>
    <mergeCell ref="A9:M9"/>
    <mergeCell ref="A13:M13"/>
    <mergeCell ref="A15:M15"/>
    <mergeCell ref="A37:M37"/>
    <mergeCell ref="A41:M41"/>
    <mergeCell ref="A44:F44"/>
    <mergeCell ref="A46:M46"/>
    <mergeCell ref="A18:M18"/>
    <mergeCell ref="A23:M23"/>
    <mergeCell ref="A25:M25"/>
    <mergeCell ref="A27:M27"/>
    <mergeCell ref="A29:M29"/>
    <mergeCell ref="A31:M31"/>
    <mergeCell ref="A33:M33"/>
  </mergeCells>
  <conditionalFormatting sqref="G5:G1000">
    <cfRule type="cellIs" dxfId="0" priority="1" operator="equal">
      <formula>"DISPONIVEL"</formula>
    </cfRule>
  </conditionalFormatting>
  <conditionalFormatting sqref="G5:G1000">
    <cfRule type="cellIs" dxfId="1" priority="2" operator="equal">
      <formula>"PACKED"</formula>
    </cfRule>
  </conditionalFormatting>
  <conditionalFormatting sqref="G5:G1000">
    <cfRule type="cellIs" dxfId="2" priority="3" operator="equal">
      <formula>"EM_CAMPO"</formula>
    </cfRule>
  </conditionalFormatting>
  <conditionalFormatting sqref="G5:G1000">
    <cfRule type="cellIs" dxfId="3" priority="4" operator="equal">
      <formula>"MANUTENCAO"</formula>
    </cfRule>
  </conditionalFormatting>
  <conditionalFormatting sqref="G5:G1000">
    <cfRule type="cellIs" dxfId="4" priority="5" operator="equal">
      <formula>"EMPRESTADO"</formula>
    </cfRule>
  </conditionalFormatting>
  <conditionalFormatting sqref="G5:G1000">
    <cfRule type="cellIs" dxfId="5" priority="6" operator="equal">
      <formula>"VENDIDO"</formula>
    </cfRule>
  </conditionalFormatting>
  <conditionalFormatting sqref="G5:G1000">
    <cfRule type="cellIs" dxfId="5" priority="7" operator="equal">
      <formula>"BAIXA"</formula>
    </cfRule>
  </conditionalFormatting>
  <conditionalFormatting sqref="H5:H1000">
    <cfRule type="cellIs" dxfId="6" priority="8" operator="equal">
      <formula>"NOVO"</formula>
    </cfRule>
  </conditionalFormatting>
  <conditionalFormatting sqref="H5:H1000">
    <cfRule type="cellIs" dxfId="7" priority="9" operator="equal">
      <formula>"SEMI_NOVO"</formula>
    </cfRule>
  </conditionalFormatting>
  <conditionalFormatting sqref="H5:H1000">
    <cfRule type="cellIs" dxfId="8" priority="10" operator="equal">
      <formula>"USADO"</formula>
    </cfRule>
  </conditionalFormatting>
  <conditionalFormatting sqref="H5:H1000">
    <cfRule type="cellIs" dxfId="9" priority="11" operator="equal">
      <formula>"RECONDICIONADO"</formula>
    </cfRule>
  </conditionalFormatting>
  <conditionalFormatting sqref="I5:I1000">
    <cfRule type="expression" dxfId="10" priority="12">
      <formula>I5="★★★★★"</formula>
    </cfRule>
  </conditionalFormatting>
  <conditionalFormatting sqref="I5:I1000">
    <cfRule type="expression" dxfId="11" priority="13">
      <formula>I5="★★★★☆"</formula>
    </cfRule>
  </conditionalFormatting>
  <conditionalFormatting sqref="I5:I1000">
    <cfRule type="expression" dxfId="12" priority="14">
      <formula>I5="★★★☆☆"</formula>
    </cfRule>
  </conditionalFormatting>
  <conditionalFormatting sqref="I5:I1000">
    <cfRule type="expression" dxfId="13" priority="15">
      <formula>I5="★★☆☆☆"</formula>
    </cfRule>
  </conditionalFormatting>
  <conditionalFormatting sqref="I5:I1000">
    <cfRule type="expression" dxfId="14" priority="16">
      <formula>I5="★☆☆☆☆"</formula>
    </cfRule>
  </conditionalFormatting>
  <conditionalFormatting sqref="L5:L1000">
    <cfRule type="cellIs" dxfId="0" priority="17" operator="lessThan">
      <formula>0.2</formula>
    </cfRule>
  </conditionalFormatting>
  <conditionalFormatting sqref="L5:L1000">
    <cfRule type="cellIs" dxfId="2" priority="18" operator="between">
      <formula>0.2</formula>
      <formula>0.4</formula>
    </cfRule>
  </conditionalFormatting>
  <conditionalFormatting sqref="L5:L1000">
    <cfRule type="cellIs" dxfId="15" priority="19" operator="between">
      <formula>0.4</formula>
      <formula>0.6</formula>
    </cfRule>
  </conditionalFormatting>
  <conditionalFormatting sqref="L5:L1000">
    <cfRule type="cellIs" dxfId="16" priority="20" operator="greaterThanOrEqual">
      <formula>0.6</formula>
    </cfRule>
  </conditionalFormatting>
  <dataValidations>
    <dataValidation type="list" allowBlank="1" sqref="H6 H8 H10:H12 H14 H16:H17 H19:H22 H24 H26 H28 H30 H32 H34:H36 H38:H40 H42:H45 H47:H246">
      <formula1>"NOVO,SEMI_NOVO,USADO,RECONDICIONADO"</formula1>
    </dataValidation>
    <dataValidation type="list" allowBlank="1" sqref="G6 G8 G10:G12 G14 G16:G17 G19:G22 G24 G26 G28 G30 G32 G34:G36 G38:G40 G42:G45 G47:G246">
      <formula1>"DISPONIVEL,PACKED,EM_CAMPO,MANUTENCAO,EMPRESTADO,VENDIDO,BAIXA"</formula1>
    </dataValidation>
    <dataValidation type="list" allowBlank="1" sqref="I6 I8 I10:I12 I14 I16:I17 I19:I22 I24 I26 I28 I30 I32 I34:I36 I38:I40 I42:I45 I47:I246">
      <formula1>"★☆☆☆☆,★★☆☆☆,★★★☆☆,★★★★☆,★★★★★"</formula1>
    </dataValidation>
  </dataValidations>
  <hyperlinks>
    <hyperlink r:id="rId1" ref="A6"/>
    <hyperlink r:id="rId2" ref="A8"/>
    <hyperlink r:id="rId3" ref="A10"/>
    <hyperlink r:id="rId4" ref="A11"/>
    <hyperlink r:id="rId5" ref="A12"/>
    <hyperlink r:id="rId6" ref="A14"/>
    <hyperlink r:id="rId7" ref="A16"/>
    <hyperlink r:id="rId8" ref="A17"/>
    <hyperlink r:id="rId9" ref="A19"/>
    <hyperlink r:id="rId10" ref="A20"/>
    <hyperlink r:id="rId11" ref="A21"/>
    <hyperlink r:id="rId12" ref="A22"/>
    <hyperlink r:id="rId13" ref="A24"/>
    <hyperlink r:id="rId14" ref="A26"/>
    <hyperlink r:id="rId15" ref="A28"/>
    <hyperlink r:id="rId16" ref="A30"/>
    <hyperlink r:id="rId17" ref="A32"/>
    <hyperlink r:id="rId18" ref="A34"/>
    <hyperlink r:id="rId19" ref="A35"/>
    <hyperlink r:id="rId20" ref="A36"/>
    <hyperlink r:id="rId21" ref="A38"/>
    <hyperlink r:id="rId22" ref="A39"/>
    <hyperlink r:id="rId23" ref="A40"/>
    <hyperlink r:id="rId24" ref="A42"/>
  </hyperlinks>
  <printOptions/>
  <pageMargins bottom="1.0" footer="0.0" header="0.0" left="0.75" right="0.75" top="1.0"/>
  <pageSetup orientation="landscape"/>
  <drawing r:id="rId2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9E0B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min="2" max="2" width="42.0"/>
    <col customWidth="1" min="3" max="3" width="18.0"/>
    <col customWidth="1" min="4" max="4" width="10.0"/>
    <col customWidth="1" min="5" max="5" width="14.0"/>
    <col customWidth="1" min="6" max="6" width="16.0"/>
    <col customWidth="1" min="7" max="7" width="32.0"/>
    <col customWidth="1" min="8" max="26" width="8.71"/>
  </cols>
  <sheetData>
    <row r="1" ht="27.75" customHeight="1">
      <c r="A1" s="91" t="s">
        <v>140</v>
      </c>
      <c r="B1" s="91" t="s">
        <v>1319</v>
      </c>
      <c r="C1" s="91" t="s">
        <v>142</v>
      </c>
      <c r="D1" s="91" t="s">
        <v>89</v>
      </c>
      <c r="E1" s="91" t="s">
        <v>118</v>
      </c>
      <c r="F1" s="91" t="s">
        <v>144</v>
      </c>
      <c r="G1" s="91" t="s">
        <v>1320</v>
      </c>
    </row>
    <row r="2" ht="21.75" customHeight="1">
      <c r="A2" s="135" t="s">
        <v>1321</v>
      </c>
      <c r="B2" s="57" t="s">
        <v>1322</v>
      </c>
      <c r="C2" s="57" t="s">
        <v>1082</v>
      </c>
      <c r="D2" s="57">
        <v>7.0</v>
      </c>
      <c r="E2" s="57" t="s">
        <v>75</v>
      </c>
      <c r="F2" s="57"/>
      <c r="G2" s="57" t="s">
        <v>1323</v>
      </c>
    </row>
    <row r="3" ht="21.75" customHeight="1">
      <c r="A3" s="62" t="s">
        <v>1324</v>
      </c>
      <c r="B3" s="51" t="s">
        <v>1325</v>
      </c>
      <c r="C3" s="51" t="s">
        <v>1326</v>
      </c>
      <c r="D3" s="51">
        <v>1.0</v>
      </c>
      <c r="E3" s="51" t="s">
        <v>75</v>
      </c>
      <c r="F3" s="51"/>
      <c r="G3" s="51" t="s">
        <v>1327</v>
      </c>
    </row>
    <row r="4" ht="21.75" customHeight="1">
      <c r="A4" s="135" t="s">
        <v>1328</v>
      </c>
      <c r="B4" s="57" t="s">
        <v>1329</v>
      </c>
      <c r="C4" s="57" t="s">
        <v>1330</v>
      </c>
      <c r="D4" s="57">
        <v>6.0</v>
      </c>
      <c r="E4" s="57" t="s">
        <v>75</v>
      </c>
      <c r="F4" s="57"/>
      <c r="G4" s="57" t="s">
        <v>1331</v>
      </c>
    </row>
    <row r="5" ht="21.75" customHeight="1">
      <c r="A5" s="62" t="s">
        <v>1332</v>
      </c>
      <c r="B5" s="51" t="s">
        <v>1333</v>
      </c>
      <c r="C5" s="51" t="s">
        <v>1330</v>
      </c>
      <c r="D5" s="51">
        <v>1.0</v>
      </c>
      <c r="E5" s="51" t="s">
        <v>75</v>
      </c>
      <c r="F5" s="51"/>
      <c r="G5" s="51" t="s">
        <v>1334</v>
      </c>
    </row>
    <row r="6" ht="21.75" customHeight="1">
      <c r="A6" s="135" t="s">
        <v>1335</v>
      </c>
      <c r="B6" s="57" t="s">
        <v>1336</v>
      </c>
      <c r="C6" s="57" t="s">
        <v>1330</v>
      </c>
      <c r="D6" s="57">
        <v>1.0</v>
      </c>
      <c r="E6" s="57" t="s">
        <v>75</v>
      </c>
      <c r="F6" s="57"/>
      <c r="G6" s="57" t="s">
        <v>1337</v>
      </c>
    </row>
    <row r="7" ht="21.75" customHeight="1">
      <c r="A7" s="62" t="s">
        <v>1338</v>
      </c>
      <c r="B7" s="51" t="s">
        <v>1339</v>
      </c>
      <c r="C7" s="51" t="s">
        <v>1330</v>
      </c>
      <c r="D7" s="51">
        <v>4.0</v>
      </c>
      <c r="E7" s="51" t="s">
        <v>75</v>
      </c>
      <c r="F7" s="51"/>
      <c r="G7" s="51" t="s">
        <v>1340</v>
      </c>
    </row>
    <row r="8" ht="21.75" customHeight="1">
      <c r="A8" s="135" t="s">
        <v>1341</v>
      </c>
      <c r="B8" s="57" t="s">
        <v>1342</v>
      </c>
      <c r="C8" s="57" t="s">
        <v>1330</v>
      </c>
      <c r="D8" s="57">
        <v>1.0</v>
      </c>
      <c r="E8" s="57" t="s">
        <v>75</v>
      </c>
      <c r="F8" s="57"/>
      <c r="G8" s="57" t="s">
        <v>1343</v>
      </c>
    </row>
    <row r="9" ht="21.75" customHeight="1">
      <c r="A9" s="62" t="s">
        <v>1344</v>
      </c>
      <c r="B9" s="51" t="s">
        <v>1345</v>
      </c>
      <c r="C9" s="51" t="s">
        <v>1346</v>
      </c>
      <c r="D9" s="51">
        <v>4.0</v>
      </c>
      <c r="E9" s="51" t="s">
        <v>75</v>
      </c>
      <c r="F9" s="51"/>
      <c r="G9" s="51" t="s">
        <v>1347</v>
      </c>
    </row>
    <row r="10" ht="21.75" customHeight="1">
      <c r="A10" s="135" t="s">
        <v>1348</v>
      </c>
      <c r="B10" s="57" t="s">
        <v>1349</v>
      </c>
      <c r="C10" s="57" t="s">
        <v>1350</v>
      </c>
      <c r="D10" s="57">
        <v>1.0</v>
      </c>
      <c r="E10" s="57" t="s">
        <v>75</v>
      </c>
      <c r="F10" s="57"/>
      <c r="G10" s="57" t="s">
        <v>1351</v>
      </c>
    </row>
    <row r="11" ht="21.75" customHeight="1">
      <c r="A11" s="62" t="s">
        <v>1352</v>
      </c>
      <c r="B11" s="51" t="s">
        <v>1353</v>
      </c>
      <c r="C11" s="51" t="s">
        <v>1330</v>
      </c>
      <c r="D11" s="51">
        <v>1.0</v>
      </c>
      <c r="E11" s="51" t="s">
        <v>75</v>
      </c>
      <c r="F11" s="51"/>
      <c r="G11" s="51" t="s">
        <v>1354</v>
      </c>
    </row>
    <row r="12" ht="21.75" customHeight="1">
      <c r="A12" s="135" t="s">
        <v>1355</v>
      </c>
      <c r="B12" s="57" t="s">
        <v>1356</v>
      </c>
      <c r="C12" s="57" t="s">
        <v>1330</v>
      </c>
      <c r="D12" s="57">
        <v>1.0</v>
      </c>
      <c r="E12" s="57" t="s">
        <v>75</v>
      </c>
      <c r="F12" s="57"/>
      <c r="G12" s="57" t="s">
        <v>1357</v>
      </c>
    </row>
    <row r="13" ht="21.75" customHeight="1">
      <c r="A13" s="62" t="s">
        <v>1358</v>
      </c>
      <c r="B13" s="51" t="s">
        <v>1359</v>
      </c>
      <c r="C13" s="51" t="s">
        <v>1360</v>
      </c>
      <c r="D13" s="51">
        <v>1.0</v>
      </c>
      <c r="E13" s="51" t="s">
        <v>75</v>
      </c>
      <c r="F13" s="51"/>
      <c r="G13" s="51" t="s">
        <v>1361</v>
      </c>
    </row>
    <row r="14" ht="21.75" customHeight="1">
      <c r="A14" s="135" t="s">
        <v>1362</v>
      </c>
      <c r="B14" s="57" t="s">
        <v>1363</v>
      </c>
      <c r="C14" s="57" t="s">
        <v>1364</v>
      </c>
      <c r="D14" s="57">
        <v>1.0</v>
      </c>
      <c r="E14" s="57" t="s">
        <v>75</v>
      </c>
      <c r="F14" s="57"/>
      <c r="G14" s="57" t="s">
        <v>1365</v>
      </c>
    </row>
    <row r="15" ht="21.75" customHeight="1">
      <c r="A15" s="62" t="s">
        <v>1366</v>
      </c>
      <c r="B15" s="51" t="s">
        <v>1367</v>
      </c>
      <c r="C15" s="51" t="s">
        <v>1364</v>
      </c>
      <c r="D15" s="51">
        <v>1.0</v>
      </c>
      <c r="E15" s="51" t="s">
        <v>75</v>
      </c>
      <c r="F15" s="51"/>
      <c r="G15" s="51" t="s">
        <v>1368</v>
      </c>
    </row>
    <row r="16" ht="21.75" customHeight="1">
      <c r="A16" s="135" t="s">
        <v>1369</v>
      </c>
      <c r="B16" s="57" t="s">
        <v>1370</v>
      </c>
      <c r="C16" s="57" t="s">
        <v>1371</v>
      </c>
      <c r="D16" s="57">
        <v>1.0</v>
      </c>
      <c r="E16" s="57" t="s">
        <v>75</v>
      </c>
      <c r="F16" s="57"/>
      <c r="G16" s="57" t="s">
        <v>1372</v>
      </c>
    </row>
    <row r="17" ht="21.75" customHeight="1">
      <c r="A17" s="62" t="s">
        <v>1373</v>
      </c>
      <c r="B17" s="51" t="s">
        <v>1374</v>
      </c>
      <c r="C17" s="51" t="s">
        <v>1375</v>
      </c>
      <c r="D17" s="51">
        <v>1.0</v>
      </c>
      <c r="E17" s="51" t="s">
        <v>75</v>
      </c>
      <c r="F17" s="51"/>
      <c r="G17" s="51" t="s">
        <v>1376</v>
      </c>
    </row>
    <row r="18" ht="21.75" customHeight="1">
      <c r="A18" s="135" t="s">
        <v>1377</v>
      </c>
      <c r="B18" s="57" t="s">
        <v>1378</v>
      </c>
      <c r="C18" s="57" t="s">
        <v>1375</v>
      </c>
      <c r="D18" s="57">
        <v>1.0</v>
      </c>
      <c r="E18" s="57" t="s">
        <v>75</v>
      </c>
      <c r="F18" s="57"/>
      <c r="G18" s="57" t="s">
        <v>1379</v>
      </c>
    </row>
    <row r="19" ht="21.75" customHeight="1">
      <c r="A19" s="62" t="s">
        <v>1380</v>
      </c>
      <c r="B19" s="51" t="s">
        <v>1381</v>
      </c>
      <c r="C19" s="51" t="s">
        <v>1382</v>
      </c>
      <c r="D19" s="51">
        <v>1.0</v>
      </c>
      <c r="E19" s="51" t="s">
        <v>75</v>
      </c>
      <c r="F19" s="51"/>
      <c r="G19" s="51" t="s">
        <v>1383</v>
      </c>
    </row>
    <row r="20" ht="21.75" customHeight="1">
      <c r="A20" s="135" t="s">
        <v>1384</v>
      </c>
      <c r="B20" s="57" t="s">
        <v>1385</v>
      </c>
      <c r="C20" s="57" t="s">
        <v>1386</v>
      </c>
      <c r="D20" s="57">
        <v>7.0</v>
      </c>
      <c r="E20" s="57" t="s">
        <v>75</v>
      </c>
      <c r="F20" s="57"/>
      <c r="G20" s="57" t="s">
        <v>1387</v>
      </c>
    </row>
    <row r="21" ht="21.75" customHeight="1">
      <c r="A21" s="62" t="s">
        <v>1388</v>
      </c>
      <c r="B21" s="51" t="s">
        <v>1389</v>
      </c>
      <c r="C21" s="51" t="s">
        <v>1386</v>
      </c>
      <c r="D21" s="51">
        <v>9.0</v>
      </c>
      <c r="E21" s="51" t="s">
        <v>75</v>
      </c>
      <c r="F21" s="51"/>
      <c r="G21" s="51" t="s">
        <v>1390</v>
      </c>
    </row>
    <row r="22" ht="21.75" customHeight="1">
      <c r="A22" s="135" t="s">
        <v>1391</v>
      </c>
      <c r="B22" s="57" t="s">
        <v>1392</v>
      </c>
      <c r="C22" s="57" t="s">
        <v>1386</v>
      </c>
      <c r="D22" s="57">
        <v>4.0</v>
      </c>
      <c r="E22" s="57" t="s">
        <v>75</v>
      </c>
      <c r="F22" s="57"/>
      <c r="G22" s="57" t="s">
        <v>1393</v>
      </c>
    </row>
    <row r="23" ht="21.75" customHeight="1">
      <c r="A23" s="62" t="s">
        <v>1394</v>
      </c>
      <c r="B23" s="51" t="s">
        <v>1395</v>
      </c>
      <c r="C23" s="51" t="s">
        <v>1396</v>
      </c>
      <c r="D23" s="51">
        <v>3.0</v>
      </c>
      <c r="E23" s="51" t="s">
        <v>75</v>
      </c>
      <c r="F23" s="51"/>
      <c r="G23" s="51" t="s">
        <v>1397</v>
      </c>
    </row>
    <row r="24" ht="21.75" customHeight="1">
      <c r="A24" s="135" t="s">
        <v>1398</v>
      </c>
      <c r="B24" s="57" t="s">
        <v>1399</v>
      </c>
      <c r="C24" s="57" t="s">
        <v>1396</v>
      </c>
      <c r="D24" s="57">
        <v>1.0</v>
      </c>
      <c r="E24" s="57" t="s">
        <v>75</v>
      </c>
      <c r="F24" s="57"/>
      <c r="G24" s="57" t="s">
        <v>1400</v>
      </c>
    </row>
    <row r="25" ht="21.75" customHeight="1">
      <c r="A25" s="62" t="s">
        <v>1401</v>
      </c>
      <c r="B25" s="51" t="s">
        <v>1402</v>
      </c>
      <c r="C25" s="51" t="s">
        <v>1396</v>
      </c>
      <c r="D25" s="51">
        <v>1.0</v>
      </c>
      <c r="E25" s="51" t="s">
        <v>75</v>
      </c>
      <c r="F25" s="51"/>
      <c r="G25" s="51" t="s">
        <v>1403</v>
      </c>
    </row>
    <row r="26" ht="21.75" customHeight="1">
      <c r="A26" s="135" t="s">
        <v>1404</v>
      </c>
      <c r="B26" s="57" t="s">
        <v>1405</v>
      </c>
      <c r="C26" s="57" t="s">
        <v>1396</v>
      </c>
      <c r="D26" s="57">
        <v>1.0</v>
      </c>
      <c r="E26" s="57" t="s">
        <v>75</v>
      </c>
      <c r="F26" s="57"/>
      <c r="G26" s="57" t="s">
        <v>1406</v>
      </c>
    </row>
    <row r="27" ht="21.75" customHeight="1">
      <c r="A27" s="62" t="s">
        <v>1407</v>
      </c>
      <c r="B27" s="51" t="s">
        <v>1408</v>
      </c>
      <c r="C27" s="51" t="s">
        <v>1409</v>
      </c>
      <c r="D27" s="51">
        <v>1.0</v>
      </c>
      <c r="E27" s="51" t="s">
        <v>75</v>
      </c>
      <c r="F27" s="51"/>
      <c r="G27" s="51" t="s">
        <v>1410</v>
      </c>
    </row>
    <row r="28" ht="21.75" customHeight="1">
      <c r="A28" s="135" t="s">
        <v>1411</v>
      </c>
      <c r="B28" s="57" t="s">
        <v>1412</v>
      </c>
      <c r="C28" s="57" t="s">
        <v>1413</v>
      </c>
      <c r="D28" s="57">
        <v>1.0</v>
      </c>
      <c r="E28" s="57" t="s">
        <v>75</v>
      </c>
      <c r="F28" s="57"/>
      <c r="G28" s="57" t="s">
        <v>1414</v>
      </c>
    </row>
    <row r="29" ht="21.75" customHeight="1">
      <c r="A29" s="62" t="s">
        <v>1415</v>
      </c>
      <c r="B29" s="51" t="s">
        <v>1416</v>
      </c>
      <c r="C29" s="51" t="s">
        <v>1413</v>
      </c>
      <c r="D29" s="51">
        <v>2.0</v>
      </c>
      <c r="E29" s="51" t="s">
        <v>75</v>
      </c>
      <c r="F29" s="51"/>
      <c r="G29" s="51" t="s">
        <v>1417</v>
      </c>
    </row>
    <row r="30" ht="21.75" customHeight="1">
      <c r="A30" s="135" t="s">
        <v>1418</v>
      </c>
      <c r="B30" s="57" t="s">
        <v>1419</v>
      </c>
      <c r="C30" s="57" t="s">
        <v>1413</v>
      </c>
      <c r="D30" s="57">
        <v>1.0</v>
      </c>
      <c r="E30" s="57" t="s">
        <v>75</v>
      </c>
      <c r="F30" s="57"/>
      <c r="G30" s="57" t="s">
        <v>1420</v>
      </c>
    </row>
    <row r="31" ht="21.75" customHeight="1">
      <c r="A31" s="62" t="s">
        <v>1421</v>
      </c>
      <c r="B31" s="51" t="s">
        <v>1422</v>
      </c>
      <c r="C31" s="51" t="s">
        <v>1423</v>
      </c>
      <c r="D31" s="51">
        <v>1.0</v>
      </c>
      <c r="E31" s="51" t="s">
        <v>75</v>
      </c>
      <c r="F31" s="51"/>
      <c r="G31" s="51" t="s">
        <v>1424</v>
      </c>
    </row>
    <row r="32" ht="21.75" customHeight="1">
      <c r="A32" s="135" t="s">
        <v>1425</v>
      </c>
      <c r="B32" s="57" t="s">
        <v>1426</v>
      </c>
      <c r="C32" s="57" t="s">
        <v>1423</v>
      </c>
      <c r="D32" s="57">
        <v>1.0</v>
      </c>
      <c r="E32" s="57" t="s">
        <v>75</v>
      </c>
      <c r="F32" s="57"/>
      <c r="G32" s="57" t="s">
        <v>1427</v>
      </c>
    </row>
    <row r="33" ht="21.75" customHeight="1">
      <c r="A33" s="62" t="s">
        <v>1428</v>
      </c>
      <c r="B33" s="51" t="s">
        <v>1429</v>
      </c>
      <c r="C33" s="51" t="s">
        <v>1430</v>
      </c>
      <c r="D33" s="51">
        <v>1.0</v>
      </c>
      <c r="E33" s="51" t="s">
        <v>75</v>
      </c>
      <c r="F33" s="51"/>
      <c r="G33" s="51" t="s">
        <v>1431</v>
      </c>
    </row>
    <row r="34" ht="21.75" customHeight="1">
      <c r="A34" s="135" t="s">
        <v>1432</v>
      </c>
      <c r="B34" s="57" t="s">
        <v>1433</v>
      </c>
      <c r="C34" s="57" t="s">
        <v>1434</v>
      </c>
      <c r="D34" s="57">
        <v>1.0</v>
      </c>
      <c r="E34" s="57" t="s">
        <v>75</v>
      </c>
      <c r="F34" s="57"/>
      <c r="G34" s="57" t="s">
        <v>1435</v>
      </c>
    </row>
    <row r="35" ht="21.75" customHeight="1">
      <c r="A35" s="62" t="s">
        <v>1436</v>
      </c>
      <c r="B35" s="51" t="s">
        <v>1437</v>
      </c>
      <c r="C35" s="51" t="s">
        <v>1438</v>
      </c>
      <c r="D35" s="51">
        <v>2.0</v>
      </c>
      <c r="E35" s="51" t="s">
        <v>75</v>
      </c>
      <c r="F35" s="51"/>
      <c r="G35" s="51" t="s">
        <v>1439</v>
      </c>
    </row>
    <row r="36" ht="21.75" customHeight="1">
      <c r="A36" s="135" t="s">
        <v>1440</v>
      </c>
      <c r="B36" s="57" t="s">
        <v>1441</v>
      </c>
      <c r="C36" s="57" t="s">
        <v>1438</v>
      </c>
      <c r="D36" s="57">
        <v>7.0</v>
      </c>
      <c r="E36" s="57" t="s">
        <v>75</v>
      </c>
      <c r="F36" s="57"/>
      <c r="G36" s="57" t="s">
        <v>1442</v>
      </c>
    </row>
    <row r="37" ht="21.75" customHeight="1">
      <c r="A37" s="62" t="s">
        <v>1443</v>
      </c>
      <c r="B37" s="51" t="s">
        <v>1444</v>
      </c>
      <c r="C37" s="51" t="s">
        <v>1445</v>
      </c>
      <c r="D37" s="51">
        <v>1.0</v>
      </c>
      <c r="E37" s="51" t="s">
        <v>75</v>
      </c>
      <c r="F37" s="51"/>
      <c r="G37" s="51" t="s">
        <v>1446</v>
      </c>
    </row>
    <row r="38" ht="21.75" customHeight="1">
      <c r="A38" s="135" t="s">
        <v>1447</v>
      </c>
      <c r="B38" s="57" t="s">
        <v>1448</v>
      </c>
      <c r="C38" s="57" t="s">
        <v>1445</v>
      </c>
      <c r="D38" s="57">
        <v>1.0</v>
      </c>
      <c r="E38" s="57" t="s">
        <v>75</v>
      </c>
      <c r="F38" s="57"/>
      <c r="G38" s="57" t="s">
        <v>1449</v>
      </c>
    </row>
    <row r="39" ht="21.75" customHeight="1">
      <c r="A39" s="62" t="s">
        <v>1450</v>
      </c>
      <c r="B39" s="51" t="s">
        <v>1451</v>
      </c>
      <c r="C39" s="51" t="s">
        <v>1452</v>
      </c>
      <c r="D39" s="51">
        <v>1.0</v>
      </c>
      <c r="E39" s="51" t="s">
        <v>75</v>
      </c>
      <c r="F39" s="51"/>
      <c r="G39" s="51" t="s">
        <v>1453</v>
      </c>
    </row>
    <row r="40" ht="21.75" customHeight="1">
      <c r="A40" s="135" t="s">
        <v>1454</v>
      </c>
      <c r="B40" s="57" t="s">
        <v>1455</v>
      </c>
      <c r="C40" s="57" t="s">
        <v>1456</v>
      </c>
      <c r="D40" s="57">
        <v>1.0</v>
      </c>
      <c r="E40" s="57" t="s">
        <v>75</v>
      </c>
      <c r="F40" s="57"/>
      <c r="G40" s="57" t="s">
        <v>1457</v>
      </c>
    </row>
    <row r="41" ht="21.75" customHeight="1">
      <c r="A41" s="62" t="s">
        <v>1458</v>
      </c>
      <c r="B41" s="51" t="s">
        <v>1459</v>
      </c>
      <c r="C41" s="51" t="s">
        <v>1456</v>
      </c>
      <c r="D41" s="51">
        <v>24.0</v>
      </c>
      <c r="E41" s="51" t="s">
        <v>75</v>
      </c>
      <c r="F41" s="51"/>
      <c r="G41" s="51" t="s">
        <v>1460</v>
      </c>
    </row>
    <row r="42" ht="21.75" customHeight="1">
      <c r="A42" s="135" t="s">
        <v>1461</v>
      </c>
      <c r="B42" s="57" t="s">
        <v>1462</v>
      </c>
      <c r="C42" s="57" t="s">
        <v>1463</v>
      </c>
      <c r="D42" s="57">
        <v>1.0</v>
      </c>
      <c r="E42" s="57" t="s">
        <v>75</v>
      </c>
      <c r="F42" s="57"/>
      <c r="G42" s="57" t="s">
        <v>1464</v>
      </c>
    </row>
    <row r="43" ht="21.75" customHeight="1">
      <c r="A43" s="62" t="s">
        <v>1465</v>
      </c>
      <c r="B43" s="51" t="s">
        <v>1466</v>
      </c>
      <c r="C43" s="51" t="s">
        <v>1463</v>
      </c>
      <c r="D43" s="51">
        <v>3.0</v>
      </c>
      <c r="E43" s="51" t="s">
        <v>75</v>
      </c>
      <c r="F43" s="51"/>
      <c r="G43" s="51" t="s">
        <v>1467</v>
      </c>
    </row>
    <row r="44" ht="21.75" customHeight="1">
      <c r="A44" s="135" t="s">
        <v>1468</v>
      </c>
      <c r="B44" s="57" t="s">
        <v>1469</v>
      </c>
      <c r="C44" s="57" t="s">
        <v>1470</v>
      </c>
      <c r="D44" s="57">
        <v>1.0</v>
      </c>
      <c r="E44" s="57" t="s">
        <v>75</v>
      </c>
      <c r="F44" s="57"/>
      <c r="G44" s="57" t="s">
        <v>1471</v>
      </c>
    </row>
    <row r="45" ht="21.75" customHeight="1">
      <c r="A45" s="62" t="s">
        <v>1472</v>
      </c>
      <c r="B45" s="51" t="s">
        <v>1473</v>
      </c>
      <c r="C45" s="51" t="s">
        <v>1470</v>
      </c>
      <c r="D45" s="51">
        <v>1.0</v>
      </c>
      <c r="E45" s="51" t="s">
        <v>75</v>
      </c>
      <c r="F45" s="51"/>
      <c r="G45" s="51" t="s">
        <v>1474</v>
      </c>
    </row>
    <row r="46" ht="21.75" customHeight="1">
      <c r="A46" s="135" t="s">
        <v>1475</v>
      </c>
      <c r="B46" s="57" t="s">
        <v>1476</v>
      </c>
      <c r="C46" s="57" t="s">
        <v>1477</v>
      </c>
      <c r="D46" s="57">
        <v>2.0</v>
      </c>
      <c r="E46" s="57" t="s">
        <v>75</v>
      </c>
      <c r="F46" s="57"/>
      <c r="G46" s="57" t="s">
        <v>1478</v>
      </c>
    </row>
    <row r="47" ht="21.75" customHeight="1">
      <c r="A47" s="62" t="s">
        <v>1479</v>
      </c>
      <c r="B47" s="51" t="s">
        <v>1480</v>
      </c>
      <c r="C47" s="51" t="s">
        <v>1481</v>
      </c>
      <c r="D47" s="51">
        <v>1.0</v>
      </c>
      <c r="E47" s="51" t="s">
        <v>75</v>
      </c>
      <c r="F47" s="51"/>
      <c r="G47" s="51" t="s">
        <v>1482</v>
      </c>
    </row>
    <row r="48" ht="21.75" customHeight="1">
      <c r="A48" s="135" t="s">
        <v>1483</v>
      </c>
      <c r="B48" s="57" t="s">
        <v>1484</v>
      </c>
      <c r="C48" s="57" t="s">
        <v>1485</v>
      </c>
      <c r="D48" s="57">
        <v>1.0</v>
      </c>
      <c r="E48" s="57" t="s">
        <v>75</v>
      </c>
      <c r="F48" s="57"/>
      <c r="G48" s="57" t="s">
        <v>1486</v>
      </c>
    </row>
    <row r="49" ht="21.75" customHeight="1">
      <c r="A49" s="62" t="s">
        <v>1487</v>
      </c>
      <c r="B49" s="51" t="s">
        <v>1488</v>
      </c>
      <c r="C49" s="51" t="s">
        <v>1489</v>
      </c>
      <c r="D49" s="51">
        <v>1.0</v>
      </c>
      <c r="E49" s="51" t="s">
        <v>75</v>
      </c>
      <c r="F49" s="51"/>
      <c r="G49" s="51" t="s">
        <v>1490</v>
      </c>
    </row>
    <row r="50" ht="21.75" customHeight="1">
      <c r="A50" s="135" t="s">
        <v>1491</v>
      </c>
      <c r="B50" s="57" t="s">
        <v>1492</v>
      </c>
      <c r="C50" s="57" t="s">
        <v>1326</v>
      </c>
      <c r="D50" s="57">
        <v>1.0</v>
      </c>
      <c r="E50" s="57" t="s">
        <v>75</v>
      </c>
      <c r="F50" s="57"/>
      <c r="G50" s="57" t="s">
        <v>1493</v>
      </c>
    </row>
    <row r="51" ht="21.75" customHeight="1">
      <c r="A51" s="62" t="s">
        <v>1494</v>
      </c>
      <c r="B51" s="51" t="s">
        <v>1495</v>
      </c>
      <c r="C51" s="51" t="s">
        <v>1496</v>
      </c>
      <c r="D51" s="51">
        <v>1.0</v>
      </c>
      <c r="E51" s="51" t="s">
        <v>75</v>
      </c>
      <c r="F51" s="51"/>
      <c r="G51" s="51" t="s">
        <v>1497</v>
      </c>
    </row>
    <row r="52" ht="21.75" customHeight="1">
      <c r="A52" s="135" t="s">
        <v>1498</v>
      </c>
      <c r="B52" s="57" t="s">
        <v>1499</v>
      </c>
      <c r="C52" s="57" t="s">
        <v>1496</v>
      </c>
      <c r="D52" s="57">
        <v>1.0</v>
      </c>
      <c r="E52" s="57" t="s">
        <v>75</v>
      </c>
      <c r="F52" s="57"/>
      <c r="G52" s="57" t="s">
        <v>1500</v>
      </c>
    </row>
    <row r="53" ht="21.75" customHeight="1">
      <c r="A53" s="62" t="s">
        <v>1501</v>
      </c>
      <c r="B53" s="51" t="s">
        <v>1502</v>
      </c>
      <c r="C53" s="51" t="s">
        <v>1496</v>
      </c>
      <c r="D53" s="51">
        <v>1.0</v>
      </c>
      <c r="E53" s="51" t="s">
        <v>75</v>
      </c>
      <c r="F53" s="51"/>
      <c r="G53" s="51" t="s">
        <v>1503</v>
      </c>
    </row>
    <row r="54" ht="21.75" customHeight="1">
      <c r="A54" s="135" t="s">
        <v>1504</v>
      </c>
      <c r="B54" s="57" t="s">
        <v>1505</v>
      </c>
      <c r="C54" s="57" t="s">
        <v>1496</v>
      </c>
      <c r="D54" s="57">
        <v>1.0</v>
      </c>
      <c r="E54" s="57" t="s">
        <v>75</v>
      </c>
      <c r="F54" s="57"/>
      <c r="G54" s="57" t="s">
        <v>1506</v>
      </c>
    </row>
    <row r="55" ht="21.75" customHeight="1">
      <c r="A55" s="62" t="s">
        <v>1507</v>
      </c>
      <c r="B55" s="51" t="s">
        <v>1508</v>
      </c>
      <c r="C55" s="51" t="s">
        <v>1509</v>
      </c>
      <c r="D55" s="51">
        <v>2.0</v>
      </c>
      <c r="E55" s="51" t="s">
        <v>75</v>
      </c>
      <c r="F55" s="51"/>
      <c r="G55" s="51" t="s">
        <v>1510</v>
      </c>
    </row>
    <row r="56" ht="21.75" customHeight="1">
      <c r="A56" s="135" t="s">
        <v>1511</v>
      </c>
      <c r="B56" s="57" t="s">
        <v>1512</v>
      </c>
      <c r="C56" s="57" t="s">
        <v>1509</v>
      </c>
      <c r="D56" s="57">
        <v>2.0</v>
      </c>
      <c r="E56" s="57" t="s">
        <v>75</v>
      </c>
      <c r="F56" s="57"/>
      <c r="G56" s="57" t="s">
        <v>1513</v>
      </c>
    </row>
    <row r="57" ht="21.75" customHeight="1">
      <c r="A57" s="62" t="s">
        <v>1514</v>
      </c>
      <c r="B57" s="51" t="s">
        <v>1515</v>
      </c>
      <c r="C57" s="51" t="s">
        <v>1509</v>
      </c>
      <c r="D57" s="51">
        <v>1.0</v>
      </c>
      <c r="E57" s="51" t="s">
        <v>75</v>
      </c>
      <c r="F57" s="51"/>
      <c r="G57" s="51" t="s">
        <v>1516</v>
      </c>
    </row>
    <row r="58" ht="21.75" customHeight="1">
      <c r="A58" s="135" t="s">
        <v>1517</v>
      </c>
      <c r="B58" s="57" t="s">
        <v>1518</v>
      </c>
      <c r="C58" s="57" t="s">
        <v>1509</v>
      </c>
      <c r="D58" s="57">
        <v>1.0</v>
      </c>
      <c r="E58" s="57" t="s">
        <v>75</v>
      </c>
      <c r="F58" s="57"/>
      <c r="G58" s="57" t="s">
        <v>1519</v>
      </c>
    </row>
    <row r="59" ht="21.75" customHeight="1">
      <c r="A59" s="62" t="s">
        <v>1520</v>
      </c>
      <c r="B59" s="51" t="s">
        <v>1521</v>
      </c>
      <c r="C59" s="51" t="s">
        <v>1509</v>
      </c>
      <c r="D59" s="51">
        <v>1.0</v>
      </c>
      <c r="E59" s="51" t="s">
        <v>75</v>
      </c>
      <c r="F59" s="51"/>
      <c r="G59" s="51" t="s">
        <v>1522</v>
      </c>
    </row>
    <row r="60" ht="21.75" customHeight="1">
      <c r="A60" s="135" t="s">
        <v>1523</v>
      </c>
      <c r="B60" s="57" t="s">
        <v>1524</v>
      </c>
      <c r="C60" s="57" t="s">
        <v>1509</v>
      </c>
      <c r="D60" s="57">
        <v>1.0</v>
      </c>
      <c r="E60" s="57" t="s">
        <v>75</v>
      </c>
      <c r="F60" s="57"/>
      <c r="G60" s="57" t="s">
        <v>1525</v>
      </c>
    </row>
    <row r="61" ht="21.75" customHeight="1">
      <c r="A61" s="62" t="s">
        <v>1526</v>
      </c>
      <c r="B61" s="51" t="s">
        <v>1527</v>
      </c>
      <c r="C61" s="51" t="s">
        <v>1509</v>
      </c>
      <c r="D61" s="51">
        <v>1.0</v>
      </c>
      <c r="E61" s="51" t="s">
        <v>75</v>
      </c>
      <c r="F61" s="51"/>
      <c r="G61" s="51" t="s">
        <v>1528</v>
      </c>
    </row>
    <row r="62" ht="21.75" customHeight="1">
      <c r="A62" s="135" t="s">
        <v>1529</v>
      </c>
      <c r="B62" s="57" t="s">
        <v>1530</v>
      </c>
      <c r="C62" s="57" t="s">
        <v>1531</v>
      </c>
      <c r="D62" s="57">
        <v>3.0</v>
      </c>
      <c r="E62" s="57" t="s">
        <v>75</v>
      </c>
      <c r="F62" s="57"/>
      <c r="G62" s="57" t="s">
        <v>1532</v>
      </c>
    </row>
    <row r="63" ht="21.75" customHeight="1">
      <c r="A63" s="62" t="s">
        <v>1533</v>
      </c>
      <c r="B63" s="51" t="s">
        <v>1534</v>
      </c>
      <c r="C63" s="51" t="s">
        <v>1535</v>
      </c>
      <c r="D63" s="51">
        <v>1.0</v>
      </c>
      <c r="E63" s="51" t="s">
        <v>75</v>
      </c>
      <c r="F63" s="51"/>
      <c r="G63" s="51" t="s">
        <v>1536</v>
      </c>
    </row>
    <row r="64" ht="21.75" customHeight="1">
      <c r="A64" s="135" t="s">
        <v>1537</v>
      </c>
      <c r="B64" s="57" t="s">
        <v>1538</v>
      </c>
      <c r="C64" s="57" t="s">
        <v>1535</v>
      </c>
      <c r="D64" s="57">
        <v>1.0</v>
      </c>
      <c r="E64" s="57" t="s">
        <v>75</v>
      </c>
      <c r="F64" s="57"/>
      <c r="G64" s="57" t="s">
        <v>1539</v>
      </c>
    </row>
    <row r="65" ht="21.75" customHeight="1">
      <c r="A65" s="62" t="s">
        <v>1540</v>
      </c>
      <c r="B65" s="51" t="s">
        <v>1541</v>
      </c>
      <c r="C65" s="51" t="s">
        <v>1542</v>
      </c>
      <c r="D65" s="51">
        <v>1.0</v>
      </c>
      <c r="E65" s="51" t="s">
        <v>75</v>
      </c>
      <c r="F65" s="51"/>
      <c r="G65" s="51" t="s">
        <v>1543</v>
      </c>
    </row>
    <row r="66" ht="21.75" customHeight="1">
      <c r="A66" s="135" t="s">
        <v>1544</v>
      </c>
      <c r="B66" s="57" t="s">
        <v>1545</v>
      </c>
      <c r="C66" s="57" t="s">
        <v>1546</v>
      </c>
      <c r="D66" s="57">
        <v>1.0</v>
      </c>
      <c r="E66" s="57" t="s">
        <v>75</v>
      </c>
      <c r="F66" s="57"/>
      <c r="G66" s="57" t="s">
        <v>1547</v>
      </c>
    </row>
    <row r="67" ht="21.75" customHeight="1">
      <c r="A67" s="62" t="s">
        <v>1548</v>
      </c>
      <c r="B67" s="51" t="s">
        <v>1549</v>
      </c>
      <c r="C67" s="51" t="s">
        <v>1550</v>
      </c>
      <c r="D67" s="51">
        <v>2.0</v>
      </c>
      <c r="E67" s="51" t="s">
        <v>75</v>
      </c>
      <c r="F67" s="51"/>
      <c r="G67" s="51" t="s">
        <v>1551</v>
      </c>
    </row>
    <row r="68" ht="21.75" customHeight="1">
      <c r="A68" s="135" t="s">
        <v>1552</v>
      </c>
      <c r="B68" s="57" t="s">
        <v>1553</v>
      </c>
      <c r="C68" s="57" t="s">
        <v>1550</v>
      </c>
      <c r="D68" s="57">
        <v>1.0</v>
      </c>
      <c r="E68" s="57" t="s">
        <v>75</v>
      </c>
      <c r="F68" s="57"/>
      <c r="G68" s="57" t="s">
        <v>1554</v>
      </c>
    </row>
    <row r="69" ht="21.75" customHeight="1">
      <c r="A69" s="62" t="s">
        <v>1555</v>
      </c>
      <c r="B69" s="51" t="s">
        <v>1556</v>
      </c>
      <c r="C69" s="51" t="s">
        <v>1550</v>
      </c>
      <c r="D69" s="51">
        <v>1.0</v>
      </c>
      <c r="E69" s="51" t="s">
        <v>75</v>
      </c>
      <c r="F69" s="51"/>
      <c r="G69" s="51" t="s">
        <v>1557</v>
      </c>
    </row>
    <row r="70" ht="21.75" customHeight="1">
      <c r="A70" s="135" t="s">
        <v>1558</v>
      </c>
      <c r="B70" s="57" t="s">
        <v>1559</v>
      </c>
      <c r="C70" s="57" t="s">
        <v>1550</v>
      </c>
      <c r="D70" s="57">
        <v>1.0</v>
      </c>
      <c r="E70" s="57" t="s">
        <v>75</v>
      </c>
      <c r="F70" s="57"/>
      <c r="G70" s="57" t="s">
        <v>1560</v>
      </c>
    </row>
    <row r="71" ht="21.75" customHeight="1">
      <c r="A71" s="62" t="s">
        <v>1561</v>
      </c>
      <c r="B71" s="51" t="s">
        <v>1562</v>
      </c>
      <c r="C71" s="51" t="s">
        <v>1563</v>
      </c>
      <c r="D71" s="51">
        <v>1.0</v>
      </c>
      <c r="E71" s="51" t="s">
        <v>75</v>
      </c>
      <c r="F71" s="51"/>
      <c r="G71" s="51" t="s">
        <v>1564</v>
      </c>
    </row>
    <row r="72" ht="21.75" customHeight="1">
      <c r="A72" s="135" t="s">
        <v>1565</v>
      </c>
      <c r="B72" s="57" t="s">
        <v>1566</v>
      </c>
      <c r="C72" s="57" t="s">
        <v>1485</v>
      </c>
      <c r="D72" s="57">
        <v>1.0</v>
      </c>
      <c r="E72" s="57" t="s">
        <v>75</v>
      </c>
      <c r="F72" s="57"/>
      <c r="G72" s="57" t="s">
        <v>1567</v>
      </c>
    </row>
    <row r="73" ht="21.75" customHeight="1">
      <c r="A73" s="62" t="s">
        <v>1568</v>
      </c>
      <c r="B73" s="51" t="s">
        <v>1569</v>
      </c>
      <c r="C73" s="51" t="s">
        <v>1570</v>
      </c>
      <c r="D73" s="51">
        <v>1.0</v>
      </c>
      <c r="E73" s="51" t="s">
        <v>75</v>
      </c>
      <c r="F73" s="51"/>
      <c r="G73" s="51" t="s">
        <v>1571</v>
      </c>
    </row>
    <row r="74" ht="21.75" customHeight="1">
      <c r="A74" s="135" t="s">
        <v>1572</v>
      </c>
      <c r="B74" s="57" t="s">
        <v>1573</v>
      </c>
      <c r="C74" s="57" t="s">
        <v>1371</v>
      </c>
      <c r="D74" s="57">
        <v>50.0</v>
      </c>
      <c r="E74" s="57" t="s">
        <v>75</v>
      </c>
      <c r="F74" s="57"/>
      <c r="G74" s="57" t="s">
        <v>1574</v>
      </c>
    </row>
    <row r="75" ht="21.75" customHeight="1">
      <c r="A75" s="62" t="s">
        <v>1575</v>
      </c>
      <c r="B75" s="51" t="s">
        <v>1576</v>
      </c>
      <c r="C75" s="51" t="s">
        <v>1371</v>
      </c>
      <c r="D75" s="51">
        <v>9.0</v>
      </c>
      <c r="E75" s="51" t="s">
        <v>75</v>
      </c>
      <c r="F75" s="51"/>
      <c r="G75" s="51" t="s">
        <v>1577</v>
      </c>
    </row>
    <row r="76" ht="21.75" customHeight="1">
      <c r="A76" s="135" t="s">
        <v>1578</v>
      </c>
      <c r="B76" s="57" t="s">
        <v>1579</v>
      </c>
      <c r="C76" s="57" t="s">
        <v>1371</v>
      </c>
      <c r="D76" s="57">
        <v>1.0</v>
      </c>
      <c r="E76" s="57" t="s">
        <v>75</v>
      </c>
      <c r="F76" s="57"/>
      <c r="G76" s="57" t="s">
        <v>1580</v>
      </c>
    </row>
    <row r="77" ht="21.75" customHeight="1">
      <c r="A77" s="62" t="s">
        <v>1581</v>
      </c>
      <c r="B77" s="51" t="s">
        <v>1582</v>
      </c>
      <c r="C77" s="51" t="s">
        <v>1371</v>
      </c>
      <c r="D77" s="51">
        <v>11.0</v>
      </c>
      <c r="E77" s="51" t="s">
        <v>75</v>
      </c>
      <c r="F77" s="51"/>
      <c r="G77" s="51" t="s">
        <v>1583</v>
      </c>
    </row>
    <row r="78" ht="21.75" customHeight="1">
      <c r="A78" s="135" t="s">
        <v>1584</v>
      </c>
      <c r="B78" s="57" t="s">
        <v>1585</v>
      </c>
      <c r="C78" s="57" t="s">
        <v>1586</v>
      </c>
      <c r="D78" s="57">
        <v>1.0</v>
      </c>
      <c r="E78" s="57" t="s">
        <v>75</v>
      </c>
      <c r="F78" s="57"/>
      <c r="G78" s="57" t="s">
        <v>1587</v>
      </c>
    </row>
    <row r="79" ht="21.75" customHeight="1">
      <c r="A79" s="62" t="s">
        <v>1588</v>
      </c>
      <c r="B79" s="51" t="s">
        <v>1589</v>
      </c>
      <c r="C79" s="51" t="s">
        <v>1590</v>
      </c>
      <c r="D79" s="51">
        <v>1.0</v>
      </c>
      <c r="E79" s="51" t="s">
        <v>75</v>
      </c>
      <c r="F79" s="51"/>
      <c r="G79" s="51" t="s">
        <v>1591</v>
      </c>
    </row>
    <row r="80" ht="21.75" customHeight="1">
      <c r="A80" s="135" t="s">
        <v>1592</v>
      </c>
      <c r="B80" s="57" t="s">
        <v>1593</v>
      </c>
      <c r="C80" s="57" t="s">
        <v>1590</v>
      </c>
      <c r="D80" s="57">
        <v>4.0</v>
      </c>
      <c r="E80" s="57" t="s">
        <v>75</v>
      </c>
      <c r="F80" s="57"/>
      <c r="G80" s="57" t="s">
        <v>1594</v>
      </c>
    </row>
    <row r="81" ht="21.75" customHeight="1">
      <c r="A81" s="62" t="s">
        <v>1595</v>
      </c>
      <c r="B81" s="51" t="s">
        <v>1596</v>
      </c>
      <c r="C81" s="51" t="s">
        <v>1590</v>
      </c>
      <c r="D81" s="51">
        <v>1.0</v>
      </c>
      <c r="E81" s="51" t="s">
        <v>75</v>
      </c>
      <c r="F81" s="51"/>
      <c r="G81" s="51" t="s">
        <v>1597</v>
      </c>
    </row>
    <row r="82" ht="21.75" customHeight="1">
      <c r="A82" s="135" t="s">
        <v>1598</v>
      </c>
      <c r="B82" s="57" t="s">
        <v>1599</v>
      </c>
      <c r="C82" s="57" t="s">
        <v>1590</v>
      </c>
      <c r="D82" s="57">
        <v>1.0</v>
      </c>
      <c r="E82" s="57" t="s">
        <v>75</v>
      </c>
      <c r="F82" s="57"/>
      <c r="G82" s="57" t="s">
        <v>1600</v>
      </c>
    </row>
    <row r="83" ht="21.75" customHeight="1">
      <c r="A83" s="62" t="s">
        <v>1601</v>
      </c>
      <c r="B83" s="51" t="s">
        <v>1602</v>
      </c>
      <c r="C83" s="51" t="s">
        <v>1590</v>
      </c>
      <c r="D83" s="51">
        <v>1.0</v>
      </c>
      <c r="E83" s="51" t="s">
        <v>75</v>
      </c>
      <c r="F83" s="51"/>
      <c r="G83" s="51" t="s">
        <v>1603</v>
      </c>
    </row>
    <row r="84" ht="21.75" customHeight="1">
      <c r="A84" s="135" t="s">
        <v>1604</v>
      </c>
      <c r="B84" s="57" t="s">
        <v>1605</v>
      </c>
      <c r="C84" s="57" t="s">
        <v>1590</v>
      </c>
      <c r="D84" s="57">
        <v>1.0</v>
      </c>
      <c r="E84" s="57" t="s">
        <v>75</v>
      </c>
      <c r="F84" s="57"/>
      <c r="G84" s="57" t="s">
        <v>1606</v>
      </c>
    </row>
    <row r="85" ht="21.75" customHeight="1">
      <c r="A85" s="62" t="s">
        <v>1607</v>
      </c>
      <c r="B85" s="51" t="s">
        <v>1608</v>
      </c>
      <c r="C85" s="51" t="s">
        <v>1590</v>
      </c>
      <c r="D85" s="51">
        <v>2.0</v>
      </c>
      <c r="E85" s="51" t="s">
        <v>75</v>
      </c>
      <c r="F85" s="51"/>
      <c r="G85" s="51" t="s">
        <v>1609</v>
      </c>
    </row>
    <row r="86" ht="21.75" customHeight="1">
      <c r="A86" s="135" t="s">
        <v>1610</v>
      </c>
      <c r="B86" s="57" t="s">
        <v>1611</v>
      </c>
      <c r="C86" s="57" t="s">
        <v>1590</v>
      </c>
      <c r="D86" s="57">
        <v>3.0</v>
      </c>
      <c r="E86" s="57" t="s">
        <v>75</v>
      </c>
      <c r="F86" s="57"/>
      <c r="G86" s="57" t="s">
        <v>1612</v>
      </c>
    </row>
    <row r="87" ht="21.75" customHeight="1">
      <c r="A87" s="62" t="s">
        <v>1613</v>
      </c>
      <c r="B87" s="51" t="s">
        <v>1614</v>
      </c>
      <c r="C87" s="51" t="s">
        <v>1615</v>
      </c>
      <c r="D87" s="51">
        <v>3.0</v>
      </c>
      <c r="E87" s="51" t="s">
        <v>75</v>
      </c>
      <c r="F87" s="51"/>
      <c r="G87" s="51" t="s">
        <v>1616</v>
      </c>
    </row>
    <row r="88" ht="21.75" customHeight="1">
      <c r="A88" s="135" t="s">
        <v>1617</v>
      </c>
      <c r="B88" s="57" t="s">
        <v>1618</v>
      </c>
      <c r="C88" s="57" t="s">
        <v>1615</v>
      </c>
      <c r="D88" s="57">
        <v>5.0</v>
      </c>
      <c r="E88" s="57" t="s">
        <v>75</v>
      </c>
      <c r="F88" s="57"/>
      <c r="G88" s="57" t="s">
        <v>1619</v>
      </c>
    </row>
    <row r="89" ht="21.75" customHeight="1">
      <c r="A89" s="62" t="s">
        <v>1620</v>
      </c>
      <c r="B89" s="51" t="s">
        <v>1621</v>
      </c>
      <c r="C89" s="51" t="s">
        <v>1615</v>
      </c>
      <c r="D89" s="51">
        <v>2.0</v>
      </c>
      <c r="E89" s="51" t="s">
        <v>75</v>
      </c>
      <c r="F89" s="51"/>
      <c r="G89" s="51" t="s">
        <v>1622</v>
      </c>
    </row>
    <row r="90" ht="21.75" customHeight="1">
      <c r="A90" s="135" t="s">
        <v>1623</v>
      </c>
      <c r="B90" s="57" t="s">
        <v>1624</v>
      </c>
      <c r="C90" s="57" t="s">
        <v>1625</v>
      </c>
      <c r="D90" s="57">
        <v>7.0</v>
      </c>
      <c r="E90" s="57" t="s">
        <v>75</v>
      </c>
      <c r="F90" s="57"/>
      <c r="G90" s="57" t="s">
        <v>1626</v>
      </c>
    </row>
    <row r="91" ht="21.75" customHeight="1">
      <c r="A91" s="62" t="s">
        <v>1627</v>
      </c>
      <c r="B91" s="51" t="s">
        <v>1628</v>
      </c>
      <c r="C91" s="51" t="s">
        <v>1625</v>
      </c>
      <c r="D91" s="51">
        <v>1.0</v>
      </c>
      <c r="E91" s="51" t="s">
        <v>75</v>
      </c>
      <c r="F91" s="51"/>
      <c r="G91" s="51" t="s">
        <v>1629</v>
      </c>
    </row>
    <row r="92" ht="21.75" customHeight="1">
      <c r="A92" s="135" t="s">
        <v>1630</v>
      </c>
      <c r="B92" s="57" t="s">
        <v>1631</v>
      </c>
      <c r="C92" s="57" t="s">
        <v>1625</v>
      </c>
      <c r="D92" s="57">
        <v>1.0</v>
      </c>
      <c r="E92" s="57" t="s">
        <v>75</v>
      </c>
      <c r="F92" s="57"/>
      <c r="G92" s="57" t="s">
        <v>1632</v>
      </c>
    </row>
    <row r="93" ht="21.75" customHeight="1">
      <c r="A93" s="62" t="s">
        <v>1633</v>
      </c>
      <c r="B93" s="51" t="s">
        <v>1634</v>
      </c>
      <c r="C93" s="51" t="s">
        <v>1635</v>
      </c>
      <c r="D93" s="51">
        <v>1.0</v>
      </c>
      <c r="E93" s="51" t="s">
        <v>75</v>
      </c>
      <c r="F93" s="51"/>
      <c r="G93" s="51" t="s">
        <v>1636</v>
      </c>
    </row>
    <row r="94" ht="21.75" customHeight="1">
      <c r="A94" s="135" t="s">
        <v>1637</v>
      </c>
      <c r="B94" s="57" t="s">
        <v>1638</v>
      </c>
      <c r="C94" s="57" t="s">
        <v>1639</v>
      </c>
      <c r="D94" s="57">
        <v>1.0</v>
      </c>
      <c r="E94" s="57" t="s">
        <v>75</v>
      </c>
      <c r="F94" s="57"/>
      <c r="G94" s="57" t="s">
        <v>1640</v>
      </c>
    </row>
    <row r="95" ht="21.75" customHeight="1">
      <c r="A95" s="62" t="s">
        <v>1641</v>
      </c>
      <c r="B95" s="51" t="s">
        <v>1642</v>
      </c>
      <c r="C95" s="51" t="s">
        <v>1643</v>
      </c>
      <c r="D95" s="51">
        <v>4.0</v>
      </c>
      <c r="E95" s="51" t="s">
        <v>75</v>
      </c>
      <c r="F95" s="51"/>
      <c r="G95" s="51" t="s">
        <v>1644</v>
      </c>
    </row>
    <row r="96" ht="21.75" customHeight="1">
      <c r="A96" s="135" t="s">
        <v>1645</v>
      </c>
      <c r="B96" s="57" t="s">
        <v>1646</v>
      </c>
      <c r="C96" s="57" t="s">
        <v>1643</v>
      </c>
      <c r="D96" s="57">
        <v>4.0</v>
      </c>
      <c r="E96" s="57" t="s">
        <v>75</v>
      </c>
      <c r="F96" s="57"/>
      <c r="G96" s="57" t="s">
        <v>1647</v>
      </c>
    </row>
    <row r="97" ht="21.75" customHeight="1">
      <c r="A97" s="62" t="s">
        <v>1648</v>
      </c>
      <c r="B97" s="51" t="s">
        <v>1649</v>
      </c>
      <c r="C97" s="51" t="s">
        <v>1643</v>
      </c>
      <c r="D97" s="51">
        <v>1.0</v>
      </c>
      <c r="E97" s="51" t="s">
        <v>75</v>
      </c>
      <c r="F97" s="51"/>
      <c r="G97" s="51" t="s">
        <v>1650</v>
      </c>
    </row>
    <row r="98" ht="21.75" customHeight="1">
      <c r="A98" s="135" t="s">
        <v>1651</v>
      </c>
      <c r="B98" s="57" t="s">
        <v>1652</v>
      </c>
      <c r="C98" s="57" t="s">
        <v>1653</v>
      </c>
      <c r="D98" s="57">
        <v>2.0</v>
      </c>
      <c r="E98" s="57" t="s">
        <v>75</v>
      </c>
      <c r="F98" s="57"/>
      <c r="G98" s="57" t="s">
        <v>1654</v>
      </c>
    </row>
    <row r="99" ht="21.75" customHeight="1">
      <c r="A99" s="62" t="s">
        <v>1655</v>
      </c>
      <c r="B99" s="51" t="s">
        <v>1656</v>
      </c>
      <c r="C99" s="51" t="s">
        <v>1653</v>
      </c>
      <c r="D99" s="51">
        <v>1.0</v>
      </c>
      <c r="E99" s="51" t="s">
        <v>75</v>
      </c>
      <c r="F99" s="51"/>
      <c r="G99" s="51" t="s">
        <v>1657</v>
      </c>
    </row>
    <row r="100" ht="21.75" customHeight="1">
      <c r="A100" s="135" t="s">
        <v>1658</v>
      </c>
      <c r="B100" s="57" t="s">
        <v>1659</v>
      </c>
      <c r="C100" s="57" t="s">
        <v>1653</v>
      </c>
      <c r="D100" s="57">
        <v>1.0</v>
      </c>
      <c r="E100" s="57" t="s">
        <v>75</v>
      </c>
      <c r="F100" s="57"/>
      <c r="G100" s="57" t="s">
        <v>1660</v>
      </c>
    </row>
    <row r="101" ht="21.75" customHeight="1">
      <c r="A101" s="62" t="s">
        <v>1661</v>
      </c>
      <c r="B101" s="51" t="s">
        <v>1662</v>
      </c>
      <c r="C101" s="51" t="s">
        <v>1653</v>
      </c>
      <c r="D101" s="51">
        <v>1.0</v>
      </c>
      <c r="E101" s="51" t="s">
        <v>75</v>
      </c>
      <c r="F101" s="51"/>
      <c r="G101" s="51" t="s">
        <v>1663</v>
      </c>
    </row>
    <row r="102" ht="21.75" customHeight="1">
      <c r="A102" s="135" t="s">
        <v>1664</v>
      </c>
      <c r="B102" s="57" t="s">
        <v>1665</v>
      </c>
      <c r="C102" s="57" t="s">
        <v>1653</v>
      </c>
      <c r="D102" s="57">
        <v>3.0</v>
      </c>
      <c r="E102" s="57" t="s">
        <v>75</v>
      </c>
      <c r="F102" s="57"/>
      <c r="G102" s="57" t="s">
        <v>1666</v>
      </c>
    </row>
    <row r="103" ht="21.75" customHeight="1">
      <c r="A103" s="62" t="s">
        <v>1667</v>
      </c>
      <c r="B103" s="51" t="s">
        <v>1668</v>
      </c>
      <c r="C103" s="51" t="s">
        <v>1653</v>
      </c>
      <c r="D103" s="51">
        <v>2.0</v>
      </c>
      <c r="E103" s="51" t="s">
        <v>75</v>
      </c>
      <c r="F103" s="51"/>
      <c r="G103" s="51" t="s">
        <v>1669</v>
      </c>
    </row>
    <row r="104" ht="21.75" customHeight="1">
      <c r="A104" s="135" t="s">
        <v>1670</v>
      </c>
      <c r="B104" s="57" t="s">
        <v>1671</v>
      </c>
      <c r="C104" s="57" t="s">
        <v>1653</v>
      </c>
      <c r="D104" s="57">
        <v>1.0</v>
      </c>
      <c r="E104" s="57" t="s">
        <v>75</v>
      </c>
      <c r="F104" s="57"/>
      <c r="G104" s="57" t="s">
        <v>1672</v>
      </c>
    </row>
    <row r="105" ht="21.75" customHeight="1">
      <c r="A105" s="62" t="s">
        <v>1673</v>
      </c>
      <c r="B105" s="51" t="s">
        <v>1674</v>
      </c>
      <c r="C105" s="51" t="s">
        <v>1653</v>
      </c>
      <c r="D105" s="51">
        <v>1.0</v>
      </c>
      <c r="E105" s="51" t="s">
        <v>75</v>
      </c>
      <c r="F105" s="51"/>
      <c r="G105" s="51" t="s">
        <v>1675</v>
      </c>
    </row>
    <row r="106" ht="21.75" customHeight="1">
      <c r="A106" s="135" t="s">
        <v>1676</v>
      </c>
      <c r="B106" s="57" t="s">
        <v>1677</v>
      </c>
      <c r="C106" s="57" t="s">
        <v>1653</v>
      </c>
      <c r="D106" s="57">
        <v>1.0</v>
      </c>
      <c r="E106" s="57" t="s">
        <v>75</v>
      </c>
      <c r="F106" s="57"/>
      <c r="G106" s="57" t="s">
        <v>1678</v>
      </c>
    </row>
    <row r="107" ht="21.75" customHeight="1">
      <c r="A107" s="62" t="s">
        <v>1679</v>
      </c>
      <c r="B107" s="51" t="s">
        <v>1680</v>
      </c>
      <c r="C107" s="51" t="s">
        <v>1653</v>
      </c>
      <c r="D107" s="51">
        <v>1.0</v>
      </c>
      <c r="E107" s="51" t="s">
        <v>75</v>
      </c>
      <c r="F107" s="51"/>
      <c r="G107" s="51" t="s">
        <v>1681</v>
      </c>
    </row>
    <row r="108" ht="21.75" customHeight="1">
      <c r="A108" s="135" t="s">
        <v>1682</v>
      </c>
      <c r="B108" s="57" t="s">
        <v>1683</v>
      </c>
      <c r="C108" s="57" t="s">
        <v>1653</v>
      </c>
      <c r="D108" s="57">
        <v>2.0</v>
      </c>
      <c r="E108" s="57" t="s">
        <v>75</v>
      </c>
      <c r="F108" s="57"/>
      <c r="G108" s="57" t="s">
        <v>1684</v>
      </c>
    </row>
    <row r="109" ht="21.75" customHeight="1">
      <c r="A109" s="62" t="s">
        <v>1685</v>
      </c>
      <c r="B109" s="51" t="s">
        <v>1686</v>
      </c>
      <c r="C109" s="51" t="s">
        <v>1653</v>
      </c>
      <c r="D109" s="51">
        <v>2.0</v>
      </c>
      <c r="E109" s="51" t="s">
        <v>75</v>
      </c>
      <c r="F109" s="51"/>
      <c r="G109" s="51" t="s">
        <v>1687</v>
      </c>
    </row>
    <row r="110" ht="21.75" customHeight="1">
      <c r="A110" s="135" t="s">
        <v>1688</v>
      </c>
      <c r="B110" s="57" t="s">
        <v>1689</v>
      </c>
      <c r="C110" s="57" t="s">
        <v>1653</v>
      </c>
      <c r="D110" s="57">
        <v>1.0</v>
      </c>
      <c r="E110" s="57" t="s">
        <v>75</v>
      </c>
      <c r="F110" s="57"/>
      <c r="G110" s="57" t="s">
        <v>1690</v>
      </c>
    </row>
    <row r="111" ht="21.75" customHeight="1">
      <c r="A111" s="62" t="s">
        <v>1691</v>
      </c>
      <c r="B111" s="51" t="s">
        <v>1692</v>
      </c>
      <c r="C111" s="51" t="s">
        <v>1693</v>
      </c>
      <c r="D111" s="51">
        <v>1.0</v>
      </c>
      <c r="E111" s="51" t="s">
        <v>75</v>
      </c>
      <c r="F111" s="51"/>
      <c r="G111" s="51" t="s">
        <v>1694</v>
      </c>
    </row>
    <row r="112" ht="21.75" customHeight="1">
      <c r="A112" s="135" t="s">
        <v>1695</v>
      </c>
      <c r="B112" s="57" t="s">
        <v>1696</v>
      </c>
      <c r="C112" s="57" t="s">
        <v>1697</v>
      </c>
      <c r="D112" s="57">
        <v>2.0</v>
      </c>
      <c r="E112" s="57" t="s">
        <v>75</v>
      </c>
      <c r="F112" s="57"/>
      <c r="G112" s="57" t="s">
        <v>1698</v>
      </c>
    </row>
    <row r="113" ht="21.75" customHeight="1">
      <c r="A113" s="62" t="s">
        <v>1699</v>
      </c>
      <c r="B113" s="51" t="s">
        <v>1700</v>
      </c>
      <c r="C113" s="51" t="s">
        <v>1697</v>
      </c>
      <c r="D113" s="51">
        <v>1.0</v>
      </c>
      <c r="E113" s="51" t="s">
        <v>75</v>
      </c>
      <c r="F113" s="51"/>
      <c r="G113" s="51" t="s">
        <v>1701</v>
      </c>
    </row>
    <row r="114" ht="21.75" customHeight="1">
      <c r="A114" s="135" t="s">
        <v>1702</v>
      </c>
      <c r="B114" s="57" t="s">
        <v>1703</v>
      </c>
      <c r="C114" s="57" t="s">
        <v>1697</v>
      </c>
      <c r="D114" s="57">
        <v>2.0</v>
      </c>
      <c r="E114" s="57" t="s">
        <v>75</v>
      </c>
      <c r="F114" s="57"/>
      <c r="G114" s="57" t="s">
        <v>1704</v>
      </c>
    </row>
    <row r="115" ht="21.75" customHeight="1">
      <c r="A115" s="62" t="s">
        <v>1705</v>
      </c>
      <c r="B115" s="51" t="s">
        <v>1706</v>
      </c>
      <c r="C115" s="51" t="s">
        <v>1470</v>
      </c>
      <c r="D115" s="51">
        <v>86.0</v>
      </c>
      <c r="E115" s="51" t="s">
        <v>75</v>
      </c>
      <c r="F115" s="51"/>
      <c r="G115" s="51" t="s">
        <v>1707</v>
      </c>
    </row>
    <row r="116" ht="21.75" customHeight="1">
      <c r="A116" s="135" t="s">
        <v>1708</v>
      </c>
      <c r="B116" s="57" t="s">
        <v>1709</v>
      </c>
      <c r="C116" s="57" t="s">
        <v>1470</v>
      </c>
      <c r="D116" s="57">
        <v>1.0</v>
      </c>
      <c r="E116" s="57" t="s">
        <v>75</v>
      </c>
      <c r="F116" s="57"/>
      <c r="G116" s="57" t="s">
        <v>1710</v>
      </c>
    </row>
    <row r="117" ht="21.75" customHeight="1">
      <c r="A117" s="62" t="s">
        <v>1711</v>
      </c>
      <c r="B117" s="51" t="s">
        <v>1712</v>
      </c>
      <c r="C117" s="51" t="s">
        <v>1470</v>
      </c>
      <c r="D117" s="51">
        <v>1.0</v>
      </c>
      <c r="E117" s="51" t="s">
        <v>75</v>
      </c>
      <c r="F117" s="51"/>
      <c r="G117" s="51" t="s">
        <v>1713</v>
      </c>
    </row>
    <row r="118" ht="21.75" customHeight="1">
      <c r="A118" s="135" t="s">
        <v>1714</v>
      </c>
      <c r="B118" s="57" t="s">
        <v>1715</v>
      </c>
      <c r="C118" s="57" t="s">
        <v>1716</v>
      </c>
      <c r="D118" s="57">
        <v>25.0</v>
      </c>
      <c r="E118" s="57" t="s">
        <v>75</v>
      </c>
      <c r="F118" s="57"/>
      <c r="G118" s="57" t="s">
        <v>1717</v>
      </c>
    </row>
    <row r="119" ht="21.75" customHeight="1">
      <c r="A119" s="62" t="s">
        <v>1718</v>
      </c>
      <c r="B119" s="51" t="s">
        <v>1719</v>
      </c>
      <c r="C119" s="51" t="s">
        <v>1716</v>
      </c>
      <c r="D119" s="51">
        <v>3.0</v>
      </c>
      <c r="E119" s="51" t="s">
        <v>75</v>
      </c>
      <c r="F119" s="51"/>
      <c r="G119" s="51" t="s">
        <v>1720</v>
      </c>
    </row>
    <row r="120" ht="21.75" customHeight="1">
      <c r="A120" s="135" t="s">
        <v>1721</v>
      </c>
      <c r="B120" s="57" t="s">
        <v>1722</v>
      </c>
      <c r="C120" s="57" t="s">
        <v>1716</v>
      </c>
      <c r="D120" s="57">
        <v>1.0</v>
      </c>
      <c r="E120" s="57" t="s">
        <v>75</v>
      </c>
      <c r="F120" s="57"/>
      <c r="G120" s="57" t="s">
        <v>1723</v>
      </c>
    </row>
    <row r="121" ht="21.75" customHeight="1">
      <c r="A121" s="62" t="s">
        <v>1724</v>
      </c>
      <c r="B121" s="51" t="s">
        <v>1725</v>
      </c>
      <c r="C121" s="51" t="s">
        <v>1716</v>
      </c>
      <c r="D121" s="51">
        <v>1.0</v>
      </c>
      <c r="E121" s="51" t="s">
        <v>75</v>
      </c>
      <c r="F121" s="51"/>
      <c r="G121" s="51" t="s">
        <v>1726</v>
      </c>
    </row>
    <row r="122" ht="21.75" customHeight="1">
      <c r="A122" s="135" t="s">
        <v>1727</v>
      </c>
      <c r="B122" s="57" t="s">
        <v>1728</v>
      </c>
      <c r="C122" s="57" t="s">
        <v>1716</v>
      </c>
      <c r="D122" s="57">
        <v>1.0</v>
      </c>
      <c r="E122" s="57" t="s">
        <v>75</v>
      </c>
      <c r="F122" s="57"/>
      <c r="G122" s="57" t="s">
        <v>1729</v>
      </c>
    </row>
    <row r="123" ht="21.75" customHeight="1">
      <c r="A123" s="62" t="s">
        <v>1730</v>
      </c>
      <c r="B123" s="51" t="s">
        <v>1731</v>
      </c>
      <c r="C123" s="51" t="s">
        <v>1716</v>
      </c>
      <c r="D123" s="51">
        <v>2.0</v>
      </c>
      <c r="E123" s="51" t="s">
        <v>75</v>
      </c>
      <c r="F123" s="51"/>
      <c r="G123" s="51" t="s">
        <v>1732</v>
      </c>
    </row>
    <row r="124" ht="21.75" customHeight="1">
      <c r="A124" s="135" t="s">
        <v>1733</v>
      </c>
      <c r="B124" s="57" t="s">
        <v>1734</v>
      </c>
      <c r="C124" s="57" t="s">
        <v>1477</v>
      </c>
      <c r="D124" s="57">
        <v>2.0</v>
      </c>
      <c r="E124" s="57" t="s">
        <v>75</v>
      </c>
      <c r="F124" s="57"/>
      <c r="G124" s="57" t="s">
        <v>1735</v>
      </c>
    </row>
    <row r="125" ht="21.75" customHeight="1">
      <c r="A125" s="62" t="s">
        <v>1736</v>
      </c>
      <c r="B125" s="51" t="s">
        <v>1737</v>
      </c>
      <c r="C125" s="51" t="s">
        <v>1738</v>
      </c>
      <c r="D125" s="51">
        <v>1.0</v>
      </c>
      <c r="E125" s="51" t="s">
        <v>75</v>
      </c>
      <c r="F125" s="51"/>
      <c r="G125" s="51" t="s">
        <v>1739</v>
      </c>
    </row>
    <row r="126" ht="21.75" customHeight="1">
      <c r="A126" s="135" t="s">
        <v>1740</v>
      </c>
      <c r="B126" s="57" t="s">
        <v>1741</v>
      </c>
      <c r="C126" s="57" t="s">
        <v>1738</v>
      </c>
      <c r="D126" s="57">
        <v>2.0</v>
      </c>
      <c r="E126" s="57" t="s">
        <v>75</v>
      </c>
      <c r="F126" s="57"/>
      <c r="G126" s="57" t="s">
        <v>1742</v>
      </c>
    </row>
    <row r="127" ht="21.75" customHeight="1">
      <c r="A127" s="62" t="s">
        <v>1743</v>
      </c>
      <c r="B127" s="51" t="s">
        <v>1744</v>
      </c>
      <c r="C127" s="51" t="s">
        <v>1738</v>
      </c>
      <c r="D127" s="51">
        <v>1.0</v>
      </c>
      <c r="E127" s="51" t="s">
        <v>75</v>
      </c>
      <c r="F127" s="51"/>
      <c r="G127" s="51" t="s">
        <v>1745</v>
      </c>
    </row>
    <row r="128" ht="21.75" customHeight="1">
      <c r="A128" s="135" t="s">
        <v>1746</v>
      </c>
      <c r="B128" s="57" t="s">
        <v>1747</v>
      </c>
      <c r="C128" s="57" t="s">
        <v>1748</v>
      </c>
      <c r="D128" s="57">
        <v>1.0</v>
      </c>
      <c r="E128" s="57" t="s">
        <v>75</v>
      </c>
      <c r="F128" s="57"/>
      <c r="G128" s="57" t="s">
        <v>1749</v>
      </c>
    </row>
    <row r="129" ht="21.75" customHeight="1">
      <c r="A129" s="62" t="s">
        <v>1750</v>
      </c>
      <c r="B129" s="51" t="s">
        <v>1751</v>
      </c>
      <c r="C129" s="51" t="s">
        <v>1752</v>
      </c>
      <c r="D129" s="51">
        <v>1.0</v>
      </c>
      <c r="E129" s="51" t="s">
        <v>75</v>
      </c>
      <c r="F129" s="51"/>
      <c r="G129" s="51" t="s">
        <v>1753</v>
      </c>
    </row>
    <row r="130" ht="21.75" customHeight="1">
      <c r="A130" s="135" t="s">
        <v>1754</v>
      </c>
      <c r="B130" s="57" t="s">
        <v>1755</v>
      </c>
      <c r="C130" s="57" t="s">
        <v>1756</v>
      </c>
      <c r="D130" s="57">
        <v>1.0</v>
      </c>
      <c r="E130" s="57" t="s">
        <v>75</v>
      </c>
      <c r="F130" s="57"/>
      <c r="G130" s="57" t="s">
        <v>1757</v>
      </c>
    </row>
    <row r="131" ht="21.75" customHeight="1">
      <c r="A131" s="62" t="s">
        <v>1758</v>
      </c>
      <c r="B131" s="51" t="s">
        <v>1759</v>
      </c>
      <c r="C131" s="51" t="s">
        <v>1760</v>
      </c>
      <c r="D131" s="51">
        <v>1.0</v>
      </c>
      <c r="E131" s="51" t="s">
        <v>75</v>
      </c>
      <c r="F131" s="51"/>
      <c r="G131" s="51" t="s">
        <v>1761</v>
      </c>
    </row>
    <row r="132" ht="21.75" customHeight="1">
      <c r="A132" s="135" t="s">
        <v>1762</v>
      </c>
      <c r="B132" s="57" t="s">
        <v>1763</v>
      </c>
      <c r="C132" s="57" t="s">
        <v>1764</v>
      </c>
      <c r="D132" s="57">
        <v>1.0</v>
      </c>
      <c r="E132" s="57" t="s">
        <v>75</v>
      </c>
      <c r="F132" s="57"/>
      <c r="G132" s="57" t="s">
        <v>1765</v>
      </c>
    </row>
    <row r="133" ht="21.75" customHeight="1">
      <c r="A133" s="62" t="s">
        <v>1766</v>
      </c>
      <c r="B133" s="51" t="s">
        <v>1767</v>
      </c>
      <c r="C133" s="51" t="s">
        <v>1764</v>
      </c>
      <c r="D133" s="51">
        <v>8.0</v>
      </c>
      <c r="E133" s="51" t="s">
        <v>75</v>
      </c>
      <c r="F133" s="51"/>
      <c r="G133" s="51" t="s">
        <v>1768</v>
      </c>
    </row>
    <row r="134" ht="21.75" customHeight="1">
      <c r="A134" s="135" t="s">
        <v>1769</v>
      </c>
      <c r="B134" s="57" t="s">
        <v>1770</v>
      </c>
      <c r="C134" s="57" t="s">
        <v>1764</v>
      </c>
      <c r="D134" s="57">
        <v>1.0</v>
      </c>
      <c r="E134" s="57" t="s">
        <v>75</v>
      </c>
      <c r="F134" s="57"/>
      <c r="G134" s="57" t="s">
        <v>1771</v>
      </c>
    </row>
    <row r="135" ht="21.75" customHeight="1">
      <c r="A135" s="62" t="s">
        <v>1772</v>
      </c>
      <c r="B135" s="51" t="s">
        <v>1773</v>
      </c>
      <c r="C135" s="51" t="s">
        <v>1764</v>
      </c>
      <c r="D135" s="51">
        <v>2.0</v>
      </c>
      <c r="E135" s="51" t="s">
        <v>75</v>
      </c>
      <c r="F135" s="51"/>
      <c r="G135" s="51" t="s">
        <v>1774</v>
      </c>
    </row>
    <row r="136" ht="21.75" customHeight="1">
      <c r="A136" s="135" t="s">
        <v>1775</v>
      </c>
      <c r="B136" s="57" t="s">
        <v>1776</v>
      </c>
      <c r="C136" s="57" t="s">
        <v>1764</v>
      </c>
      <c r="D136" s="57">
        <v>2.0</v>
      </c>
      <c r="E136" s="57" t="s">
        <v>75</v>
      </c>
      <c r="F136" s="57"/>
      <c r="G136" s="57" t="s">
        <v>1777</v>
      </c>
    </row>
    <row r="137" ht="21.75" customHeight="1">
      <c r="A137" s="62" t="s">
        <v>1778</v>
      </c>
      <c r="B137" s="51" t="s">
        <v>1779</v>
      </c>
      <c r="C137" s="51" t="s">
        <v>1550</v>
      </c>
      <c r="D137" s="51">
        <v>29.0</v>
      </c>
      <c r="E137" s="51" t="s">
        <v>75</v>
      </c>
      <c r="F137" s="51"/>
      <c r="G137" s="51" t="s">
        <v>1780</v>
      </c>
    </row>
    <row r="138" ht="21.75" customHeight="1">
      <c r="A138" s="135" t="s">
        <v>1781</v>
      </c>
      <c r="B138" s="57" t="s">
        <v>1782</v>
      </c>
      <c r="C138" s="57" t="s">
        <v>1550</v>
      </c>
      <c r="D138" s="57">
        <v>1.0</v>
      </c>
      <c r="E138" s="57" t="s">
        <v>75</v>
      </c>
      <c r="F138" s="57"/>
      <c r="G138" s="57" t="s">
        <v>1783</v>
      </c>
    </row>
    <row r="139" ht="21.75" customHeight="1">
      <c r="A139" s="62" t="s">
        <v>1784</v>
      </c>
      <c r="B139" s="51" t="s">
        <v>1785</v>
      </c>
      <c r="C139" s="51" t="s">
        <v>1550</v>
      </c>
      <c r="D139" s="51">
        <v>7.0</v>
      </c>
      <c r="E139" s="51" t="s">
        <v>75</v>
      </c>
      <c r="F139" s="51"/>
      <c r="G139" s="51" t="s">
        <v>1786</v>
      </c>
    </row>
    <row r="140" ht="21.75" customHeight="1">
      <c r="A140" s="135" t="s">
        <v>1787</v>
      </c>
      <c r="B140" s="57" t="s">
        <v>1788</v>
      </c>
      <c r="C140" s="57" t="s">
        <v>1550</v>
      </c>
      <c r="D140" s="57">
        <v>5.0</v>
      </c>
      <c r="E140" s="57" t="s">
        <v>75</v>
      </c>
      <c r="F140" s="57"/>
      <c r="G140" s="57" t="s">
        <v>1789</v>
      </c>
    </row>
    <row r="141" ht="21.75" customHeight="1">
      <c r="A141" s="62" t="s">
        <v>1790</v>
      </c>
      <c r="B141" s="51" t="s">
        <v>1791</v>
      </c>
      <c r="C141" s="51" t="s">
        <v>1550</v>
      </c>
      <c r="D141" s="51">
        <v>13.0</v>
      </c>
      <c r="E141" s="51" t="s">
        <v>75</v>
      </c>
      <c r="F141" s="51"/>
      <c r="G141" s="51" t="s">
        <v>1792</v>
      </c>
    </row>
    <row r="142" ht="21.75" customHeight="1">
      <c r="A142" s="135" t="s">
        <v>1793</v>
      </c>
      <c r="B142" s="57" t="s">
        <v>1794</v>
      </c>
      <c r="C142" s="57" t="s">
        <v>1550</v>
      </c>
      <c r="D142" s="57">
        <v>1.0</v>
      </c>
      <c r="E142" s="57" t="s">
        <v>75</v>
      </c>
      <c r="F142" s="57"/>
      <c r="G142" s="57" t="s">
        <v>1795</v>
      </c>
    </row>
    <row r="143" ht="21.75" customHeight="1">
      <c r="A143" s="62" t="s">
        <v>1796</v>
      </c>
      <c r="B143" s="51" t="s">
        <v>1797</v>
      </c>
      <c r="C143" s="51" t="s">
        <v>1550</v>
      </c>
      <c r="D143" s="51">
        <v>3.0</v>
      </c>
      <c r="E143" s="51" t="s">
        <v>75</v>
      </c>
      <c r="F143" s="51"/>
      <c r="G143" s="51" t="s">
        <v>1798</v>
      </c>
    </row>
    <row r="144" ht="21.75" customHeight="1">
      <c r="A144" s="135" t="s">
        <v>1799</v>
      </c>
      <c r="B144" s="57" t="s">
        <v>1800</v>
      </c>
      <c r="C144" s="57" t="s">
        <v>1550</v>
      </c>
      <c r="D144" s="57">
        <v>7.0</v>
      </c>
      <c r="E144" s="57" t="s">
        <v>75</v>
      </c>
      <c r="F144" s="57"/>
      <c r="G144" s="57" t="s">
        <v>1801</v>
      </c>
    </row>
    <row r="145" ht="21.75" customHeight="1">
      <c r="A145" s="62" t="s">
        <v>1802</v>
      </c>
      <c r="B145" s="51" t="s">
        <v>1803</v>
      </c>
      <c r="C145" s="51" t="s">
        <v>1550</v>
      </c>
      <c r="D145" s="51">
        <v>1.0</v>
      </c>
      <c r="E145" s="51" t="s">
        <v>75</v>
      </c>
      <c r="F145" s="51"/>
      <c r="G145" s="51" t="s">
        <v>1804</v>
      </c>
    </row>
    <row r="146" ht="21.75" customHeight="1">
      <c r="A146" s="135" t="s">
        <v>1805</v>
      </c>
      <c r="B146" s="57" t="s">
        <v>1806</v>
      </c>
      <c r="C146" s="57" t="s">
        <v>1550</v>
      </c>
      <c r="D146" s="57">
        <v>14.0</v>
      </c>
      <c r="E146" s="57" t="s">
        <v>75</v>
      </c>
      <c r="F146" s="57"/>
      <c r="G146" s="57" t="s">
        <v>1807</v>
      </c>
    </row>
    <row r="147" ht="21.75" customHeight="1">
      <c r="A147" s="62" t="s">
        <v>1808</v>
      </c>
      <c r="B147" s="51" t="s">
        <v>1809</v>
      </c>
      <c r="C147" s="51" t="s">
        <v>1550</v>
      </c>
      <c r="D147" s="51">
        <v>4.0</v>
      </c>
      <c r="E147" s="51" t="s">
        <v>75</v>
      </c>
      <c r="F147" s="51"/>
      <c r="G147" s="51" t="s">
        <v>1810</v>
      </c>
    </row>
    <row r="148" ht="21.75" customHeight="1">
      <c r="A148" s="135" t="s">
        <v>1811</v>
      </c>
      <c r="B148" s="57" t="s">
        <v>1812</v>
      </c>
      <c r="C148" s="57" t="s">
        <v>1550</v>
      </c>
      <c r="D148" s="57">
        <v>1.0</v>
      </c>
      <c r="E148" s="57" t="s">
        <v>75</v>
      </c>
      <c r="F148" s="57"/>
      <c r="G148" s="57" t="s">
        <v>1813</v>
      </c>
    </row>
    <row r="149" ht="21.75" customHeight="1">
      <c r="A149" s="62" t="s">
        <v>1814</v>
      </c>
      <c r="B149" s="51" t="s">
        <v>1815</v>
      </c>
      <c r="C149" s="51" t="s">
        <v>1550</v>
      </c>
      <c r="D149" s="51">
        <v>3.0</v>
      </c>
      <c r="E149" s="51" t="s">
        <v>75</v>
      </c>
      <c r="F149" s="51"/>
      <c r="G149" s="51" t="s">
        <v>1816</v>
      </c>
    </row>
    <row r="150" ht="21.75" customHeight="1">
      <c r="A150" s="135" t="s">
        <v>1817</v>
      </c>
      <c r="B150" s="57" t="s">
        <v>1818</v>
      </c>
      <c r="C150" s="57" t="s">
        <v>1550</v>
      </c>
      <c r="D150" s="57">
        <v>4.0</v>
      </c>
      <c r="E150" s="57" t="s">
        <v>75</v>
      </c>
      <c r="F150" s="57"/>
      <c r="G150" s="57" t="s">
        <v>1819</v>
      </c>
    </row>
    <row r="151" ht="21.75" customHeight="1">
      <c r="A151" s="62" t="s">
        <v>1820</v>
      </c>
      <c r="B151" s="51" t="s">
        <v>1821</v>
      </c>
      <c r="C151" s="51" t="s">
        <v>1822</v>
      </c>
      <c r="D151" s="51">
        <v>2.0</v>
      </c>
      <c r="E151" s="51" t="s">
        <v>75</v>
      </c>
      <c r="F151" s="51"/>
      <c r="G151" s="51" t="s">
        <v>1823</v>
      </c>
    </row>
    <row r="152" ht="21.75" customHeight="1">
      <c r="A152" s="135" t="s">
        <v>1824</v>
      </c>
      <c r="B152" s="57" t="s">
        <v>1825</v>
      </c>
      <c r="C152" s="57" t="s">
        <v>1760</v>
      </c>
      <c r="D152" s="57">
        <v>1.0</v>
      </c>
      <c r="E152" s="57" t="s">
        <v>75</v>
      </c>
      <c r="F152" s="57"/>
      <c r="G152" s="57" t="s">
        <v>1826</v>
      </c>
    </row>
    <row r="153" ht="21.75" customHeight="1">
      <c r="A153" s="62" t="s">
        <v>1827</v>
      </c>
      <c r="B153" s="51" t="s">
        <v>1828</v>
      </c>
      <c r="C153" s="51" t="s">
        <v>1829</v>
      </c>
      <c r="D153" s="51">
        <v>1.0</v>
      </c>
      <c r="E153" s="51" t="s">
        <v>75</v>
      </c>
      <c r="F153" s="51"/>
      <c r="G153" s="51" t="s">
        <v>1830</v>
      </c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G$1"/>
  <conditionalFormatting sqref="E2:E1000">
    <cfRule type="cellIs" dxfId="0" priority="1" operator="equal">
      <formula>"DISPONIVEL"</formula>
    </cfRule>
  </conditionalFormatting>
  <conditionalFormatting sqref="E2:E1000">
    <cfRule type="cellIs" dxfId="1" priority="2" operator="equal">
      <formula>"PACKED"</formula>
    </cfRule>
  </conditionalFormatting>
  <conditionalFormatting sqref="E2:E1000">
    <cfRule type="cellIs" dxfId="2" priority="3" operator="equal">
      <formula>"EM_CAMPO"</formula>
    </cfRule>
  </conditionalFormatting>
  <conditionalFormatting sqref="E2:E1000">
    <cfRule type="cellIs" dxfId="3" priority="4" operator="equal">
      <formula>"MANUTENCAO"</formula>
    </cfRule>
  </conditionalFormatting>
  <conditionalFormatting sqref="E2:E1000">
    <cfRule type="cellIs" dxfId="4" priority="5" operator="equal">
      <formula>"EMPRESTADO"</formula>
    </cfRule>
  </conditionalFormatting>
  <conditionalFormatting sqref="E2:E1000">
    <cfRule type="cellIs" dxfId="5" priority="6" operator="equal">
      <formula>"VENDIDO"</formula>
    </cfRule>
  </conditionalFormatting>
  <conditionalFormatting sqref="E2:E1000">
    <cfRule type="cellIs" dxfId="5" priority="7" operator="equal">
      <formula>"BAIXA"</formula>
    </cfRule>
  </conditionalFormatting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748B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min="2" max="2" width="34.0"/>
    <col customWidth="1" min="3" max="3" width="16.0"/>
    <col customWidth="1" min="4" max="4" width="20.0"/>
    <col customWidth="1" min="5" max="5" width="22.0"/>
    <col customWidth="1" min="6" max="6" width="16.0"/>
    <col customWidth="1" min="7" max="7" width="14.0"/>
    <col customWidth="1" min="8" max="8" width="16.0"/>
    <col customWidth="1" min="9" max="9" width="12.0"/>
    <col customWidth="1" min="10" max="10" width="14.0"/>
    <col customWidth="1" min="11" max="11" width="16.0"/>
    <col customWidth="1" min="12" max="12" width="10.0"/>
    <col customWidth="1" min="13" max="13" width="36.0"/>
    <col customWidth="1" min="14" max="14" width="30.0"/>
    <col customWidth="1" min="15" max="26" width="8.71"/>
  </cols>
  <sheetData>
    <row r="1" ht="27.75" customHeight="1">
      <c r="A1" s="91" t="s">
        <v>140</v>
      </c>
      <c r="B1" s="91" t="s">
        <v>123</v>
      </c>
      <c r="C1" s="91" t="s">
        <v>141</v>
      </c>
      <c r="D1" s="91" t="s">
        <v>142</v>
      </c>
      <c r="E1" s="91" t="s">
        <v>143</v>
      </c>
      <c r="F1" s="91" t="s">
        <v>144</v>
      </c>
      <c r="G1" s="91" t="s">
        <v>118</v>
      </c>
      <c r="H1" s="91" t="s">
        <v>145</v>
      </c>
      <c r="I1" s="91" t="s">
        <v>125</v>
      </c>
      <c r="J1" s="91" t="s">
        <v>146</v>
      </c>
      <c r="K1" s="91" t="s">
        <v>91</v>
      </c>
      <c r="L1" s="91" t="s">
        <v>136</v>
      </c>
      <c r="M1" s="91" t="s">
        <v>147</v>
      </c>
      <c r="N1" s="91" t="s">
        <v>1831</v>
      </c>
    </row>
    <row r="2" ht="21.75" customHeight="1">
      <c r="A2" s="136" t="s">
        <v>1832</v>
      </c>
      <c r="B2" s="57" t="s">
        <v>1833</v>
      </c>
      <c r="C2" s="57" t="s">
        <v>731</v>
      </c>
      <c r="D2" s="57" t="s">
        <v>610</v>
      </c>
      <c r="E2" s="57" t="s">
        <v>1834</v>
      </c>
      <c r="F2" s="57"/>
      <c r="G2" s="57" t="s">
        <v>1835</v>
      </c>
      <c r="H2" s="57" t="s">
        <v>153</v>
      </c>
      <c r="I2" s="99" t="s">
        <v>81</v>
      </c>
      <c r="J2" s="59">
        <v>2473.88</v>
      </c>
      <c r="K2" s="95">
        <v>643.21</v>
      </c>
      <c r="L2" s="137">
        <v>26.0</v>
      </c>
      <c r="M2" s="97"/>
      <c r="N2" s="57" t="s">
        <v>1836</v>
      </c>
    </row>
    <row r="3" ht="36.0" customHeight="1">
      <c r="A3" s="138" t="s">
        <v>1837</v>
      </c>
      <c r="B3" s="51" t="s">
        <v>721</v>
      </c>
      <c r="C3" s="51" t="s">
        <v>703</v>
      </c>
      <c r="D3" s="51" t="s">
        <v>688</v>
      </c>
      <c r="E3" s="51" t="s">
        <v>1838</v>
      </c>
      <c r="F3" s="51"/>
      <c r="G3" s="51" t="s">
        <v>1839</v>
      </c>
      <c r="H3" s="51" t="s">
        <v>153</v>
      </c>
      <c r="I3" s="99" t="s">
        <v>81</v>
      </c>
      <c r="J3" s="53">
        <v>10710.0</v>
      </c>
      <c r="K3" s="95">
        <v>10710.0</v>
      </c>
      <c r="L3" s="139">
        <f t="shared" ref="L3:L10" si="1">IF(J3&gt;0,(J3-K3)/J3,"")</f>
        <v>0</v>
      </c>
      <c r="M3" s="101" t="s">
        <v>1840</v>
      </c>
      <c r="N3" s="51" t="s">
        <v>1840</v>
      </c>
    </row>
    <row r="4" ht="21.75" customHeight="1">
      <c r="A4" s="136" t="s">
        <v>1841</v>
      </c>
      <c r="B4" s="57" t="s">
        <v>1842</v>
      </c>
      <c r="C4" s="57" t="s">
        <v>1843</v>
      </c>
      <c r="D4" s="57" t="s">
        <v>688</v>
      </c>
      <c r="E4" s="57"/>
      <c r="F4" s="57"/>
      <c r="G4" s="57" t="s">
        <v>1835</v>
      </c>
      <c r="H4" s="57" t="s">
        <v>153</v>
      </c>
      <c r="I4" s="102" t="s">
        <v>132</v>
      </c>
      <c r="J4" s="59">
        <v>850.0</v>
      </c>
      <c r="K4" s="95">
        <v>850.0</v>
      </c>
      <c r="L4" s="137">
        <f t="shared" si="1"/>
        <v>0</v>
      </c>
      <c r="M4" s="97"/>
      <c r="N4" s="57" t="s">
        <v>1836</v>
      </c>
    </row>
    <row r="5" ht="21.75" customHeight="1">
      <c r="A5" s="138" t="s">
        <v>1844</v>
      </c>
      <c r="B5" s="51" t="s">
        <v>1842</v>
      </c>
      <c r="C5" s="51" t="s">
        <v>1843</v>
      </c>
      <c r="D5" s="51" t="s">
        <v>688</v>
      </c>
      <c r="E5" s="51"/>
      <c r="F5" s="51"/>
      <c r="G5" s="51" t="s">
        <v>1835</v>
      </c>
      <c r="H5" s="51" t="s">
        <v>153</v>
      </c>
      <c r="I5" s="102" t="s">
        <v>132</v>
      </c>
      <c r="J5" s="53">
        <v>850.0</v>
      </c>
      <c r="K5" s="95">
        <v>850.0</v>
      </c>
      <c r="L5" s="139">
        <f t="shared" si="1"/>
        <v>0</v>
      </c>
      <c r="M5" s="101"/>
      <c r="N5" s="51" t="s">
        <v>1836</v>
      </c>
    </row>
    <row r="6" ht="36.0" customHeight="1">
      <c r="A6" s="136" t="s">
        <v>1845</v>
      </c>
      <c r="B6" s="57" t="s">
        <v>1846</v>
      </c>
      <c r="C6" s="57" t="s">
        <v>609</v>
      </c>
      <c r="D6" s="57" t="s">
        <v>1847</v>
      </c>
      <c r="E6" s="57" t="s">
        <v>1848</v>
      </c>
      <c r="F6" s="57"/>
      <c r="G6" s="57" t="s">
        <v>1835</v>
      </c>
      <c r="H6" s="57" t="s">
        <v>153</v>
      </c>
      <c r="I6" s="102" t="s">
        <v>132</v>
      </c>
      <c r="J6" s="59">
        <v>1998.0</v>
      </c>
      <c r="K6" s="95">
        <v>1593.0</v>
      </c>
      <c r="L6" s="137">
        <f t="shared" si="1"/>
        <v>0.2027027027</v>
      </c>
      <c r="M6" s="97" t="s">
        <v>1849</v>
      </c>
      <c r="N6" s="57" t="s">
        <v>1836</v>
      </c>
    </row>
    <row r="7" ht="21.75" customHeight="1">
      <c r="A7" s="138" t="s">
        <v>1850</v>
      </c>
      <c r="B7" s="51" t="s">
        <v>1851</v>
      </c>
      <c r="C7" s="51" t="s">
        <v>605</v>
      </c>
      <c r="D7" s="51" t="s">
        <v>887</v>
      </c>
      <c r="E7" s="51" t="s">
        <v>1852</v>
      </c>
      <c r="F7" s="51"/>
      <c r="G7" s="51" t="s">
        <v>1839</v>
      </c>
      <c r="H7" s="51" t="s">
        <v>153</v>
      </c>
      <c r="I7" s="102" t="s">
        <v>132</v>
      </c>
      <c r="J7" s="53">
        <v>1117.0</v>
      </c>
      <c r="K7" s="95">
        <v>1117.0</v>
      </c>
      <c r="L7" s="139">
        <f t="shared" si="1"/>
        <v>0</v>
      </c>
      <c r="M7" s="101"/>
      <c r="N7" s="51" t="s">
        <v>1853</v>
      </c>
    </row>
    <row r="8" ht="36.0" customHeight="1">
      <c r="A8" s="136" t="s">
        <v>1854</v>
      </c>
      <c r="B8" s="57" t="s">
        <v>1855</v>
      </c>
      <c r="C8" s="57" t="s">
        <v>1007</v>
      </c>
      <c r="D8" s="57" t="s">
        <v>1000</v>
      </c>
      <c r="E8" s="57" t="s">
        <v>1856</v>
      </c>
      <c r="F8" s="57"/>
      <c r="G8" s="57" t="s">
        <v>1835</v>
      </c>
      <c r="H8" s="57" t="s">
        <v>153</v>
      </c>
      <c r="I8" s="102" t="s">
        <v>132</v>
      </c>
      <c r="J8" s="59">
        <v>5325.88</v>
      </c>
      <c r="K8" s="95">
        <v>5325.88</v>
      </c>
      <c r="L8" s="137">
        <f t="shared" si="1"/>
        <v>0</v>
      </c>
      <c r="M8" s="97" t="s">
        <v>1857</v>
      </c>
      <c r="N8" s="57" t="s">
        <v>1836</v>
      </c>
    </row>
    <row r="9" ht="21.75" customHeight="1">
      <c r="A9" s="138" t="s">
        <v>1858</v>
      </c>
      <c r="B9" s="51" t="s">
        <v>1859</v>
      </c>
      <c r="C9" s="51" t="s">
        <v>786</v>
      </c>
      <c r="D9" s="51" t="s">
        <v>1000</v>
      </c>
      <c r="E9" s="51" t="s">
        <v>1860</v>
      </c>
      <c r="F9" s="51"/>
      <c r="G9" s="51" t="s">
        <v>1839</v>
      </c>
      <c r="H9" s="51" t="s">
        <v>153</v>
      </c>
      <c r="I9" s="102" t="s">
        <v>132</v>
      </c>
      <c r="J9" s="53">
        <v>3000.0</v>
      </c>
      <c r="K9" s="95">
        <v>3000.0</v>
      </c>
      <c r="L9" s="139">
        <f t="shared" si="1"/>
        <v>0</v>
      </c>
      <c r="M9" s="101"/>
      <c r="N9" s="51" t="s">
        <v>1853</v>
      </c>
    </row>
    <row r="10" ht="21.75" customHeight="1">
      <c r="A10" s="136" t="s">
        <v>1861</v>
      </c>
      <c r="B10" s="57" t="s">
        <v>1862</v>
      </c>
      <c r="C10" s="57"/>
      <c r="D10" s="57" t="s">
        <v>1863</v>
      </c>
      <c r="E10" s="57"/>
      <c r="F10" s="57"/>
      <c r="G10" s="57" t="s">
        <v>1864</v>
      </c>
      <c r="H10" s="57" t="s">
        <v>153</v>
      </c>
      <c r="I10" s="112" t="s">
        <v>619</v>
      </c>
      <c r="J10" s="59">
        <v>239.9</v>
      </c>
      <c r="K10" s="95">
        <v>331.55</v>
      </c>
      <c r="L10" s="137">
        <f t="shared" si="1"/>
        <v>-0.3820341809</v>
      </c>
      <c r="M10" s="97"/>
      <c r="N10" s="57" t="s">
        <v>1865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2:G1000">
    <cfRule type="cellIs" dxfId="0" priority="1" operator="equal">
      <formula>"DISPONIVEL"</formula>
    </cfRule>
  </conditionalFormatting>
  <conditionalFormatting sqref="G2:G1000">
    <cfRule type="cellIs" dxfId="1" priority="2" operator="equal">
      <formula>"PACKED"</formula>
    </cfRule>
  </conditionalFormatting>
  <conditionalFormatting sqref="G2:G1000">
    <cfRule type="cellIs" dxfId="2" priority="3" operator="equal">
      <formula>"EM_CAMPO"</formula>
    </cfRule>
  </conditionalFormatting>
  <conditionalFormatting sqref="G2:G1000">
    <cfRule type="cellIs" dxfId="3" priority="4" operator="equal">
      <formula>"MANUTENCAO"</formula>
    </cfRule>
  </conditionalFormatting>
  <conditionalFormatting sqref="G2:G1000">
    <cfRule type="cellIs" dxfId="4" priority="5" operator="equal">
      <formula>"EMPRESTADO"</formula>
    </cfRule>
  </conditionalFormatting>
  <conditionalFormatting sqref="G2:G1000">
    <cfRule type="cellIs" dxfId="5" priority="6" operator="equal">
      <formula>"VENDIDO"</formula>
    </cfRule>
  </conditionalFormatting>
  <conditionalFormatting sqref="G2:G1000">
    <cfRule type="cellIs" dxfId="5" priority="7" operator="equal">
      <formula>"BAIXA"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2026-04-03T18:35:03Z</dcterms:created>
  <dc:creator>openpyxl</dc:creator>
</cp:coreProperties>
</file>